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竹内 悠馬\sumora-ai-ui\public\templates\"/>
    </mc:Choice>
  </mc:AlternateContent>
  <xr:revisionPtr revIDLastSave="0" documentId="8_{085DDEC3-D442-4668-A9A0-2DC2FED0AC76}" xr6:coauthVersionLast="47" xr6:coauthVersionMax="47" xr10:uidLastSave="{00000000-0000-0000-0000-000000000000}"/>
  <bookViews>
    <workbookView xWindow="-110" yWindow="-110" windowWidth="19420" windowHeight="10420" tabRatio="761" activeTab="1" xr2:uid="{7988D790-3D97-437D-A664-9229E868803C}"/>
  </bookViews>
  <sheets>
    <sheet name="入力画面" sheetId="2" r:id="rId1"/>
    <sheet name="見積書" sheetId="18" r:id="rId2"/>
    <sheet name="請求書" sheetId="19" r:id="rId3"/>
    <sheet name="広告料請求書" sheetId="14" r:id="rId4"/>
    <sheet name="引越しの流れ" sheetId="6" r:id="rId5"/>
    <sheet name="ライフライン" sheetId="4" r:id="rId6"/>
    <sheet name="付帯申込書" sheetId="9" r:id="rId7"/>
    <sheet name="お届け明細書" sheetId="3" r:id="rId8"/>
    <sheet name="鍵受領書" sheetId="16" r:id="rId9"/>
  </sheets>
  <definedNames>
    <definedName name="_xlnm.Print_Area" localSheetId="7">お届け明細書!$A$1:$AM$39</definedName>
    <definedName name="_xlnm.Print_Area" localSheetId="1">見積書!$A$1:$N$49</definedName>
    <definedName name="_xlnm.Print_Area" localSheetId="3">広告料請求書!$A$1:$J$40</definedName>
    <definedName name="_xlnm.Print_Area" localSheetId="2">請求書!$A$1:$N$49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 i="18" l="1"/>
  <c r="F11" i="18"/>
  <c r="E11" i="18"/>
  <c r="F12" i="18"/>
  <c r="E12" i="18"/>
  <c r="M8" i="18"/>
  <c r="E19" i="19"/>
  <c r="E18" i="19"/>
  <c r="E17" i="19"/>
  <c r="F14" i="19"/>
  <c r="B18" i="19"/>
  <c r="F13" i="19"/>
  <c r="B17" i="19"/>
  <c r="E12" i="19"/>
  <c r="E11" i="19"/>
  <c r="E10" i="19"/>
  <c r="B17" i="14"/>
  <c r="E36" i="19"/>
  <c r="M20" i="19"/>
  <c r="M19" i="19"/>
  <c r="M18" i="19"/>
  <c r="M17" i="19"/>
  <c r="M16" i="19"/>
  <c r="M15" i="19"/>
  <c r="M14" i="19"/>
  <c r="M13" i="19"/>
  <c r="M12" i="19"/>
  <c r="M10" i="19"/>
  <c r="N9" i="19"/>
  <c r="M9" i="19"/>
  <c r="M8" i="19"/>
  <c r="B3" i="19"/>
  <c r="M1" i="19"/>
  <c r="B21" i="2"/>
  <c r="B22" i="2"/>
  <c r="E9" i="2"/>
  <c r="H17" i="2"/>
  <c r="E12" i="2"/>
  <c r="H20" i="2"/>
  <c r="B12" i="2"/>
  <c r="M19" i="18"/>
  <c r="M16" i="18"/>
  <c r="M15" i="18"/>
  <c r="M14" i="18"/>
  <c r="M13" i="18"/>
  <c r="M12" i="18"/>
  <c r="M10" i="18"/>
  <c r="N9" i="18"/>
  <c r="M9" i="18"/>
  <c r="B3" i="18"/>
  <c r="M1" i="18"/>
  <c r="H19" i="14"/>
  <c r="G29" i="14"/>
  <c r="H20" i="14"/>
  <c r="H21" i="14"/>
  <c r="H22" i="14"/>
  <c r="H23" i="14"/>
  <c r="H24" i="14"/>
  <c r="H25" i="14"/>
  <c r="H26" i="14"/>
  <c r="A17" i="14"/>
  <c r="H4" i="14"/>
  <c r="G9" i="3"/>
  <c r="X9" i="3"/>
  <c r="G10" i="3"/>
  <c r="AF16" i="3"/>
  <c r="AF17" i="3"/>
  <c r="K16" i="3"/>
  <c r="A18" i="3"/>
  <c r="A22" i="3"/>
  <c r="AF18" i="3"/>
  <c r="A19" i="3"/>
  <c r="A23" i="3"/>
  <c r="AF19" i="3"/>
  <c r="A20" i="3"/>
  <c r="A24" i="3"/>
  <c r="AF20" i="3"/>
  <c r="AF21" i="3"/>
  <c r="K22" i="3"/>
  <c r="AF22" i="3"/>
  <c r="K23" i="3"/>
  <c r="AF23" i="3"/>
  <c r="K24" i="3"/>
  <c r="K26" i="3"/>
  <c r="K27" i="3"/>
  <c r="K28" i="3"/>
  <c r="B6" i="2"/>
  <c r="B7" i="2"/>
  <c r="B18" i="2"/>
  <c r="B23" i="2"/>
  <c r="B24" i="2"/>
  <c r="G25" i="2"/>
  <c r="H25" i="2"/>
  <c r="H16" i="2"/>
  <c r="H19" i="2"/>
  <c r="H18" i="2"/>
  <c r="B11" i="2"/>
  <c r="K20" i="3"/>
  <c r="I13" i="19"/>
  <c r="I14" i="19"/>
  <c r="B9" i="2"/>
  <c r="F28" i="18"/>
  <c r="F29" i="18"/>
  <c r="B10" i="2"/>
  <c r="H22" i="2"/>
  <c r="E14" i="18"/>
  <c r="K18" i="3"/>
  <c r="E13" i="18"/>
  <c r="E13" i="19"/>
  <c r="E32" i="19"/>
  <c r="E37" i="19"/>
  <c r="E8" i="19"/>
  <c r="F13" i="18"/>
  <c r="K31" i="3"/>
  <c r="K37" i="3"/>
  <c r="K12" i="3"/>
  <c r="F14" i="18"/>
  <c r="F32" i="18"/>
  <c r="K19" i="3"/>
  <c r="E32" i="18"/>
  <c r="E37" i="18"/>
  <c r="E8" i="18"/>
</calcChain>
</file>

<file path=xl/sharedStrings.xml><?xml version="1.0" encoding="utf-8"?>
<sst xmlns="http://schemas.openxmlformats.org/spreadsheetml/2006/main" count="593" uniqueCount="491">
  <si>
    <t>駐車場 保証金</t>
    <rPh sb="0" eb="3">
      <t>チュウシャジョウ</t>
    </rPh>
    <rPh sb="4" eb="7">
      <t>ホショウキン</t>
    </rPh>
    <phoneticPr fontId="3"/>
  </si>
  <si>
    <t xml:space="preserve">  住 宅 保 険</t>
    <rPh sb="2" eb="5">
      <t>ジュウタク</t>
    </rPh>
    <rPh sb="6" eb="9">
      <t>ホケン</t>
    </rPh>
    <phoneticPr fontId="3"/>
  </si>
  <si>
    <t xml:space="preserve">   保  証  金</t>
    <rPh sb="3" eb="10">
      <t>ホショウキン</t>
    </rPh>
    <phoneticPr fontId="3"/>
  </si>
  <si>
    <t xml:space="preserve">   敷       金</t>
    <rPh sb="3" eb="12">
      <t>シキキン</t>
    </rPh>
    <phoneticPr fontId="3"/>
  </si>
  <si>
    <t xml:space="preserve"> 仲 介 手 数 料</t>
    <rPh sb="1" eb="4">
      <t>チュウカイ</t>
    </rPh>
    <rPh sb="5" eb="10">
      <t>テスウリョウ</t>
    </rPh>
    <phoneticPr fontId="3"/>
  </si>
  <si>
    <t xml:space="preserve"> 駐車場 手数料</t>
    <rPh sb="1" eb="4">
      <t>チュウシャジョウ</t>
    </rPh>
    <rPh sb="5" eb="8">
      <t>テスウリョウ</t>
    </rPh>
    <phoneticPr fontId="3"/>
  </si>
  <si>
    <t xml:space="preserve">   消  費  税</t>
    <rPh sb="3" eb="10">
      <t>ショウヒゼイ</t>
    </rPh>
    <phoneticPr fontId="3"/>
  </si>
  <si>
    <t xml:space="preserve">   消  費  税</t>
    <rPh sb="3" eb="10">
      <t>ショウヒゼイ</t>
    </rPh>
    <phoneticPr fontId="3"/>
  </si>
  <si>
    <t xml:space="preserve">  鍵 交 換 代</t>
    <rPh sb="2" eb="3">
      <t>カギ</t>
    </rPh>
    <rPh sb="4" eb="7">
      <t>コウカンダイ</t>
    </rPh>
    <rPh sb="8" eb="9">
      <t>ダイ</t>
    </rPh>
    <phoneticPr fontId="3"/>
  </si>
  <si>
    <t xml:space="preserve">       計</t>
    <rPh sb="7" eb="8">
      <t>ケイ</t>
    </rPh>
    <phoneticPr fontId="3"/>
  </si>
  <si>
    <t xml:space="preserve">                              </t>
    <phoneticPr fontId="3"/>
  </si>
  <si>
    <t xml:space="preserve">  保 証 金</t>
    <rPh sb="2" eb="7">
      <t>ホショウキン</t>
    </rPh>
    <phoneticPr fontId="3"/>
  </si>
  <si>
    <t xml:space="preserve">  敷     金</t>
    <rPh sb="2" eb="9">
      <t>シキキン</t>
    </rPh>
    <phoneticPr fontId="3"/>
  </si>
  <si>
    <t xml:space="preserve">  家     賃</t>
    <rPh sb="2" eb="9">
      <t>ヤチン</t>
    </rPh>
    <phoneticPr fontId="3"/>
  </si>
  <si>
    <t xml:space="preserve">  共 益 費</t>
    <rPh sb="2" eb="5">
      <t>キョウエキ</t>
    </rPh>
    <rPh sb="6" eb="7">
      <t>ヒ</t>
    </rPh>
    <phoneticPr fontId="3"/>
  </si>
  <si>
    <t xml:space="preserve">  水 道 代</t>
    <rPh sb="2" eb="5">
      <t>スイドウ</t>
    </rPh>
    <rPh sb="6" eb="7">
      <t>ダイ</t>
    </rPh>
    <phoneticPr fontId="3"/>
  </si>
  <si>
    <t xml:space="preserve"> 差引請求金額</t>
    <rPh sb="1" eb="3">
      <t>サシヒキ</t>
    </rPh>
    <rPh sb="3" eb="5">
      <t>セイキュウ</t>
    </rPh>
    <rPh sb="5" eb="7">
      <t>キンガク</t>
    </rPh>
    <phoneticPr fontId="3"/>
  </si>
  <si>
    <t xml:space="preserve">  手 付 金  </t>
    <rPh sb="2" eb="7">
      <t>テツケキン</t>
    </rPh>
    <phoneticPr fontId="3"/>
  </si>
  <si>
    <t>迄に御振込下さい。</t>
    <rPh sb="0" eb="1">
      <t>マデ</t>
    </rPh>
    <rPh sb="2" eb="5">
      <t>オフリコミ</t>
    </rPh>
    <rPh sb="5" eb="6">
      <t>クダ</t>
    </rPh>
    <phoneticPr fontId="3"/>
  </si>
  <si>
    <t>誠に恐縮ですが、振込手数料は御負担下さい。</t>
    <rPh sb="0" eb="1">
      <t>マコト</t>
    </rPh>
    <rPh sb="2" eb="4">
      <t>キョウシュク</t>
    </rPh>
    <rPh sb="8" eb="10">
      <t>フリコミ</t>
    </rPh>
    <rPh sb="10" eb="13">
      <t>テスウリョウ</t>
    </rPh>
    <rPh sb="14" eb="17">
      <t>ゴフタン</t>
    </rPh>
    <rPh sb="17" eb="18">
      <t>クダ</t>
    </rPh>
    <phoneticPr fontId="3"/>
  </si>
  <si>
    <t>尚、御振込については、            にてお願い致します。</t>
    <rPh sb="0" eb="1">
      <t>ナオ</t>
    </rPh>
    <rPh sb="2" eb="5">
      <t>オフリコミ</t>
    </rPh>
    <rPh sb="25" eb="27">
      <t>オネガ</t>
    </rPh>
    <rPh sb="28" eb="29">
      <t>イタ</t>
    </rPh>
    <phoneticPr fontId="3"/>
  </si>
  <si>
    <t xml:space="preserve">  </t>
    <phoneticPr fontId="3"/>
  </si>
  <si>
    <t>宛名（法人）</t>
    <rPh sb="0" eb="1">
      <t>アテサキ</t>
    </rPh>
    <rPh sb="1" eb="2">
      <t>メイ</t>
    </rPh>
    <rPh sb="3" eb="5">
      <t>ホウジン</t>
    </rPh>
    <phoneticPr fontId="3"/>
  </si>
  <si>
    <t>住所</t>
    <rPh sb="0" eb="2">
      <t>ジュウショ</t>
    </rPh>
    <phoneticPr fontId="3"/>
  </si>
  <si>
    <t>～</t>
    <phoneticPr fontId="3"/>
  </si>
  <si>
    <t>（</t>
    <phoneticPr fontId="3"/>
  </si>
  <si>
    <t>）日分</t>
    <rPh sb="1" eb="2">
      <t>ヒ</t>
    </rPh>
    <rPh sb="2" eb="3">
      <t>ブン</t>
    </rPh>
    <phoneticPr fontId="3"/>
  </si>
  <si>
    <t>月分 家 賃</t>
    <rPh sb="0" eb="2">
      <t>ツキブン</t>
    </rPh>
    <rPh sb="3" eb="6">
      <t>ヤチン</t>
    </rPh>
    <phoneticPr fontId="3"/>
  </si>
  <si>
    <t>月分共益費</t>
    <rPh sb="0" eb="2">
      <t>ツキブン</t>
    </rPh>
    <rPh sb="2" eb="4">
      <t>キョウエキ</t>
    </rPh>
    <rPh sb="4" eb="5">
      <t>ヒ</t>
    </rPh>
    <phoneticPr fontId="3"/>
  </si>
  <si>
    <t>＜契約条件＞</t>
    <rPh sb="1" eb="3">
      <t>ケイヤク</t>
    </rPh>
    <rPh sb="3" eb="5">
      <t>ジョウケン</t>
    </rPh>
    <phoneticPr fontId="3"/>
  </si>
  <si>
    <t>項目</t>
    <rPh sb="0" eb="2">
      <t>コウモク</t>
    </rPh>
    <phoneticPr fontId="3"/>
  </si>
  <si>
    <t>金額</t>
    <rPh sb="0" eb="2">
      <t>キンガク</t>
    </rPh>
    <phoneticPr fontId="3"/>
  </si>
  <si>
    <t>日割家 賃</t>
    <rPh sb="0" eb="2">
      <t>ヒワ</t>
    </rPh>
    <rPh sb="2" eb="5">
      <t>ヤチン</t>
    </rPh>
    <phoneticPr fontId="3"/>
  </si>
  <si>
    <t>日割共益費</t>
    <rPh sb="0" eb="2">
      <t>ヒワ</t>
    </rPh>
    <rPh sb="2" eb="4">
      <t>キョウエキ</t>
    </rPh>
    <rPh sb="4" eb="5">
      <t>ヒ</t>
    </rPh>
    <phoneticPr fontId="3"/>
  </si>
  <si>
    <t>日割水道代</t>
    <rPh sb="0" eb="2">
      <t>ヒワ</t>
    </rPh>
    <rPh sb="2" eb="4">
      <t>スイドウ</t>
    </rPh>
    <rPh sb="4" eb="5">
      <t>ダイ</t>
    </rPh>
    <phoneticPr fontId="3"/>
  </si>
  <si>
    <t>日割駐車場代</t>
    <rPh sb="0" eb="2">
      <t>ヒワ</t>
    </rPh>
    <rPh sb="2" eb="4">
      <t>チュウシャ</t>
    </rPh>
    <rPh sb="4" eb="5">
      <t>ジョウ</t>
    </rPh>
    <rPh sb="5" eb="6">
      <t>ダイ</t>
    </rPh>
    <phoneticPr fontId="3"/>
  </si>
  <si>
    <t>何月分</t>
    <rPh sb="0" eb="3">
      <t>ナンガツブン</t>
    </rPh>
    <phoneticPr fontId="3"/>
  </si>
  <si>
    <t>何日分</t>
    <rPh sb="0" eb="3">
      <t>ナンニチブン</t>
    </rPh>
    <phoneticPr fontId="3"/>
  </si>
  <si>
    <t>日割その他</t>
    <rPh sb="0" eb="2">
      <t>ヒワ</t>
    </rPh>
    <rPh sb="2" eb="5">
      <t>ソノタ</t>
    </rPh>
    <phoneticPr fontId="3"/>
  </si>
  <si>
    <t>入居者</t>
    <rPh sb="0" eb="3">
      <t>ニュウキョシャ</t>
    </rPh>
    <phoneticPr fontId="3"/>
  </si>
  <si>
    <t>様</t>
    <rPh sb="0" eb="1">
      <t>サマ</t>
    </rPh>
    <phoneticPr fontId="3"/>
  </si>
  <si>
    <t>号室</t>
    <rPh sb="0" eb="1">
      <t>ゴウ</t>
    </rPh>
    <rPh sb="1" eb="2">
      <t>シツ</t>
    </rPh>
    <phoneticPr fontId="3"/>
  </si>
  <si>
    <t>担当</t>
    <rPh sb="0" eb="2">
      <t>タントウ</t>
    </rPh>
    <phoneticPr fontId="3"/>
  </si>
  <si>
    <t>支払期日</t>
    <rPh sb="0" eb="2">
      <t>シハライ</t>
    </rPh>
    <rPh sb="2" eb="4">
      <t>キジツ</t>
    </rPh>
    <phoneticPr fontId="3"/>
  </si>
  <si>
    <t>手付金</t>
    <rPh sb="0" eb="3">
      <t>テツケキン</t>
    </rPh>
    <phoneticPr fontId="3"/>
  </si>
  <si>
    <t>追加金</t>
    <rPh sb="0" eb="2">
      <t>ツイカ</t>
    </rPh>
    <rPh sb="2" eb="3">
      <t>キン</t>
    </rPh>
    <phoneticPr fontId="3"/>
  </si>
  <si>
    <t xml:space="preserve"> 上記金額を</t>
    <rPh sb="1" eb="3">
      <t>ジョウキ</t>
    </rPh>
    <rPh sb="3" eb="5">
      <t>キンガク</t>
    </rPh>
    <phoneticPr fontId="3"/>
  </si>
  <si>
    <t>物件名</t>
    <rPh sb="0" eb="2">
      <t>ブッケン</t>
    </rPh>
    <rPh sb="2" eb="3">
      <t>メイ</t>
    </rPh>
    <phoneticPr fontId="3"/>
  </si>
  <si>
    <t xml:space="preserve"> </t>
    <phoneticPr fontId="3"/>
  </si>
  <si>
    <t xml:space="preserve">                  </t>
    <phoneticPr fontId="3"/>
  </si>
  <si>
    <t xml:space="preserve"> </t>
    <phoneticPr fontId="3"/>
  </si>
  <si>
    <t xml:space="preserve">  追 加 金</t>
    <rPh sb="2" eb="5">
      <t>ツイカ</t>
    </rPh>
    <rPh sb="6" eb="7">
      <t>キン</t>
    </rPh>
    <phoneticPr fontId="3"/>
  </si>
  <si>
    <t>翌月家 賃</t>
    <rPh sb="0" eb="2">
      <t>ヨクゲツ</t>
    </rPh>
    <rPh sb="2" eb="5">
      <t>ヤチン</t>
    </rPh>
    <phoneticPr fontId="3"/>
  </si>
  <si>
    <t>翌月共益費</t>
    <rPh sb="0" eb="2">
      <t>ヨクゲツ</t>
    </rPh>
    <rPh sb="2" eb="4">
      <t>キョウエキ</t>
    </rPh>
    <rPh sb="4" eb="5">
      <t>ヒ</t>
    </rPh>
    <phoneticPr fontId="3"/>
  </si>
  <si>
    <t>翌月水道代</t>
    <rPh sb="0" eb="2">
      <t>ヨクゲツ</t>
    </rPh>
    <rPh sb="2" eb="4">
      <t>スイドウ</t>
    </rPh>
    <rPh sb="4" eb="5">
      <t>ダイ</t>
    </rPh>
    <phoneticPr fontId="3"/>
  </si>
  <si>
    <t>翌月駐車場代</t>
    <rPh sb="0" eb="2">
      <t>ヨクゲツ</t>
    </rPh>
    <rPh sb="2" eb="4">
      <t>チュウシャ</t>
    </rPh>
    <rPh sb="4" eb="5">
      <t>ジョウ</t>
    </rPh>
    <rPh sb="5" eb="6">
      <t>ダイ</t>
    </rPh>
    <phoneticPr fontId="3"/>
  </si>
  <si>
    <t>　</t>
    <phoneticPr fontId="3"/>
  </si>
  <si>
    <t>日割家賃</t>
    <rPh sb="0" eb="2">
      <t>ヒワリ</t>
    </rPh>
    <rPh sb="2" eb="4">
      <t>ヤチン</t>
    </rPh>
    <phoneticPr fontId="3"/>
  </si>
  <si>
    <t>日割管理費</t>
    <rPh sb="0" eb="2">
      <t>ヒワリ</t>
    </rPh>
    <rPh sb="2" eb="5">
      <t>カンリヒ</t>
    </rPh>
    <phoneticPr fontId="3"/>
  </si>
  <si>
    <t>日割水道代</t>
    <rPh sb="0" eb="2">
      <t>ヒワリ</t>
    </rPh>
    <rPh sb="2" eb="4">
      <t>スイドウダイ</t>
    </rPh>
    <rPh sb="4" eb="5">
      <t>ダイ</t>
    </rPh>
    <phoneticPr fontId="3"/>
  </si>
  <si>
    <t>駐 車 場</t>
    <rPh sb="0" eb="5">
      <t>チュウシャジョウ</t>
    </rPh>
    <phoneticPr fontId="3"/>
  </si>
  <si>
    <t>駐保証金</t>
    <rPh sb="0" eb="1">
      <t>チュウ</t>
    </rPh>
    <rPh sb="1" eb="4">
      <t>ホショウキン</t>
    </rPh>
    <phoneticPr fontId="3"/>
  </si>
  <si>
    <t>駐解約引</t>
    <rPh sb="0" eb="1">
      <t>チュウ</t>
    </rPh>
    <rPh sb="1" eb="3">
      <t>カイヤク</t>
    </rPh>
    <rPh sb="3" eb="4">
      <t>ヒ</t>
    </rPh>
    <phoneticPr fontId="3"/>
  </si>
  <si>
    <t>駐車場代</t>
    <rPh sb="0" eb="3">
      <t>チュウシャジョウ</t>
    </rPh>
    <rPh sb="3" eb="4">
      <t>ダイ</t>
    </rPh>
    <phoneticPr fontId="3"/>
  </si>
  <si>
    <t>日割駐車場</t>
    <rPh sb="0" eb="2">
      <t>ヒワリ</t>
    </rPh>
    <rPh sb="2" eb="5">
      <t>チュウシャジョウ</t>
    </rPh>
    <phoneticPr fontId="3"/>
  </si>
  <si>
    <t>部屋月日数</t>
    <rPh sb="0" eb="2">
      <t>ヘヤ</t>
    </rPh>
    <rPh sb="2" eb="3">
      <t>ツキ</t>
    </rPh>
    <rPh sb="3" eb="4">
      <t>ニチ</t>
    </rPh>
    <rPh sb="4" eb="5">
      <t>カズ</t>
    </rPh>
    <phoneticPr fontId="3"/>
  </si>
  <si>
    <t>駐月日数</t>
    <rPh sb="0" eb="1">
      <t>チュウシャジョウ</t>
    </rPh>
    <rPh sb="1" eb="2">
      <t>ツキ</t>
    </rPh>
    <rPh sb="2" eb="3">
      <t>ニチ</t>
    </rPh>
    <rPh sb="3" eb="4">
      <t>カズ</t>
    </rPh>
    <phoneticPr fontId="3"/>
  </si>
  <si>
    <t>日割合計</t>
    <rPh sb="0" eb="2">
      <t>ヒワリ</t>
    </rPh>
    <rPh sb="2" eb="4">
      <t>ゴウケイ</t>
    </rPh>
    <phoneticPr fontId="3"/>
  </si>
  <si>
    <t>住   所</t>
    <rPh sb="0" eb="5">
      <t>ジュウショ</t>
    </rPh>
    <phoneticPr fontId="3"/>
  </si>
  <si>
    <t>入居者</t>
    <rPh sb="0" eb="3">
      <t>ニュウキョシャ</t>
    </rPh>
    <phoneticPr fontId="3"/>
  </si>
  <si>
    <t>駐車場代</t>
    <rPh sb="0" eb="3">
      <t>チュウシャジョウ</t>
    </rPh>
    <rPh sb="3" eb="4">
      <t>ダイ</t>
    </rPh>
    <phoneticPr fontId="3"/>
  </si>
  <si>
    <t>駐車場税込</t>
    <rPh sb="0" eb="3">
      <t>チュウシャジョウ</t>
    </rPh>
    <rPh sb="3" eb="5">
      <t>ゼイコミ</t>
    </rPh>
    <phoneticPr fontId="3"/>
  </si>
  <si>
    <t>駐保証金</t>
    <rPh sb="0" eb="1">
      <t>チュウ</t>
    </rPh>
    <rPh sb="1" eb="4">
      <t>ホショウキン</t>
    </rPh>
    <phoneticPr fontId="3"/>
  </si>
  <si>
    <t>初回のみ</t>
    <rPh sb="0" eb="2">
      <t>ショカイ</t>
    </rPh>
    <phoneticPr fontId="3"/>
  </si>
  <si>
    <t>＜お届け明細書＞</t>
    <rPh sb="2" eb="3">
      <t>トド</t>
    </rPh>
    <rPh sb="4" eb="6">
      <t>メイサイ</t>
    </rPh>
    <rPh sb="6" eb="7">
      <t>ショ</t>
    </rPh>
    <phoneticPr fontId="3"/>
  </si>
  <si>
    <t>殿</t>
    <rPh sb="0" eb="1">
      <t>トノ</t>
    </rPh>
    <phoneticPr fontId="3"/>
  </si>
  <si>
    <t>物件名</t>
    <rPh sb="0" eb="2">
      <t>ブッケン</t>
    </rPh>
    <rPh sb="2" eb="3">
      <t>ナ</t>
    </rPh>
    <phoneticPr fontId="3"/>
  </si>
  <si>
    <t>号室</t>
    <rPh sb="0" eb="1">
      <t>ゴウ</t>
    </rPh>
    <rPh sb="1" eb="2">
      <t>シツ</t>
    </rPh>
    <phoneticPr fontId="3"/>
  </si>
  <si>
    <t>契約者名</t>
    <rPh sb="0" eb="3">
      <t>ケイヤクシャ</t>
    </rPh>
    <rPh sb="3" eb="4">
      <t>ナ</t>
    </rPh>
    <phoneticPr fontId="3"/>
  </si>
  <si>
    <t>様</t>
    <rPh sb="0" eb="1">
      <t>サマ</t>
    </rPh>
    <phoneticPr fontId="3"/>
  </si>
  <si>
    <t>差引お届け金額</t>
    <rPh sb="0" eb="1">
      <t>サ</t>
    </rPh>
    <rPh sb="1" eb="2">
      <t>ヒ</t>
    </rPh>
    <rPh sb="3" eb="4">
      <t>トド</t>
    </rPh>
    <rPh sb="5" eb="7">
      <t>キンガク</t>
    </rPh>
    <phoneticPr fontId="3"/>
  </si>
  <si>
    <t>＜契約条件＞</t>
    <rPh sb="1" eb="3">
      <t>ケイヤク</t>
    </rPh>
    <rPh sb="3" eb="5">
      <t>ジョウケン</t>
    </rPh>
    <phoneticPr fontId="3"/>
  </si>
  <si>
    <t>保証金(敷金･礼金)</t>
    <rPh sb="0" eb="3">
      <t>ホショウキン</t>
    </rPh>
    <rPh sb="4" eb="6">
      <t>シキキン</t>
    </rPh>
    <rPh sb="7" eb="9">
      <t>レイキン</t>
    </rPh>
    <phoneticPr fontId="3"/>
  </si>
  <si>
    <t>保証金</t>
    <rPh sb="0" eb="3">
      <t>ホショウキン</t>
    </rPh>
    <phoneticPr fontId="3"/>
  </si>
  <si>
    <t>円</t>
    <rPh sb="0" eb="1">
      <t>エン</t>
    </rPh>
    <phoneticPr fontId="3"/>
  </si>
  <si>
    <t>敷金</t>
    <rPh sb="0" eb="2">
      <t>シキキン</t>
    </rPh>
    <phoneticPr fontId="3"/>
  </si>
  <si>
    <t>月分日割家賃</t>
    <rPh sb="0" eb="1">
      <t>ツキ</t>
    </rPh>
    <rPh sb="1" eb="2">
      <t>ブン</t>
    </rPh>
    <rPh sb="2" eb="4">
      <t>ヒワ</t>
    </rPh>
    <rPh sb="4" eb="6">
      <t>ヤチン</t>
    </rPh>
    <phoneticPr fontId="3"/>
  </si>
  <si>
    <t>月分日割共益費</t>
    <rPh sb="0" eb="1">
      <t>ツキ</t>
    </rPh>
    <rPh sb="1" eb="2">
      <t>ブン</t>
    </rPh>
    <rPh sb="2" eb="4">
      <t>ヒワ</t>
    </rPh>
    <rPh sb="4" eb="7">
      <t>キョウエキヒ</t>
    </rPh>
    <phoneticPr fontId="3"/>
  </si>
  <si>
    <t>解約引</t>
    <rPh sb="0" eb="2">
      <t>カイヤク</t>
    </rPh>
    <rPh sb="2" eb="3">
      <t>ヒ</t>
    </rPh>
    <phoneticPr fontId="3"/>
  </si>
  <si>
    <t>月分日割水道代</t>
    <rPh sb="0" eb="1">
      <t>ツキ</t>
    </rPh>
    <rPh sb="1" eb="2">
      <t>ブン</t>
    </rPh>
    <rPh sb="2" eb="4">
      <t>ヒワ</t>
    </rPh>
    <rPh sb="4" eb="6">
      <t>スイドウ</t>
    </rPh>
    <rPh sb="6" eb="7">
      <t>ダイ</t>
    </rPh>
    <phoneticPr fontId="3"/>
  </si>
  <si>
    <t>家賃</t>
    <rPh sb="0" eb="2">
      <t>ヤチン</t>
    </rPh>
    <phoneticPr fontId="3"/>
  </si>
  <si>
    <t>共益費</t>
    <rPh sb="0" eb="3">
      <t>キョウエキヒ</t>
    </rPh>
    <phoneticPr fontId="3"/>
  </si>
  <si>
    <t>月分 家賃</t>
    <rPh sb="0" eb="1">
      <t>ツキ</t>
    </rPh>
    <rPh sb="1" eb="2">
      <t>ブン</t>
    </rPh>
    <rPh sb="3" eb="5">
      <t>ヤチン</t>
    </rPh>
    <phoneticPr fontId="3"/>
  </si>
  <si>
    <t>水道代</t>
    <rPh sb="0" eb="2">
      <t>スイドウ</t>
    </rPh>
    <rPh sb="2" eb="3">
      <t>ダイ</t>
    </rPh>
    <phoneticPr fontId="3"/>
  </si>
  <si>
    <t>月分 共益費</t>
    <rPh sb="0" eb="1">
      <t>ツキ</t>
    </rPh>
    <rPh sb="1" eb="2">
      <t>ブン</t>
    </rPh>
    <rPh sb="3" eb="6">
      <t>キョウエキヒ</t>
    </rPh>
    <phoneticPr fontId="3"/>
  </si>
  <si>
    <t>駐車場代</t>
    <rPh sb="0" eb="3">
      <t>チュウシャジョウ</t>
    </rPh>
    <rPh sb="3" eb="4">
      <t>ダイ</t>
    </rPh>
    <phoneticPr fontId="3"/>
  </si>
  <si>
    <t>月分 水道代</t>
    <rPh sb="0" eb="1">
      <t>ツキ</t>
    </rPh>
    <rPh sb="1" eb="2">
      <t>ブン</t>
    </rPh>
    <rPh sb="3" eb="5">
      <t>スイドウ</t>
    </rPh>
    <rPh sb="5" eb="6">
      <t>ダイ</t>
    </rPh>
    <phoneticPr fontId="3"/>
  </si>
  <si>
    <t>住宅保険料</t>
    <rPh sb="0" eb="2">
      <t>ジュウタク</t>
    </rPh>
    <rPh sb="2" eb="5">
      <t>ホケンリョウ</t>
    </rPh>
    <phoneticPr fontId="3"/>
  </si>
  <si>
    <t>賃貸保証料</t>
    <rPh sb="0" eb="2">
      <t>チンタイ</t>
    </rPh>
    <rPh sb="2" eb="4">
      <t>ホショウ</t>
    </rPh>
    <rPh sb="4" eb="5">
      <t>リョウ</t>
    </rPh>
    <phoneticPr fontId="3"/>
  </si>
  <si>
    <t>合計金額</t>
    <rPh sb="0" eb="2">
      <t>ゴウケイ</t>
    </rPh>
    <rPh sb="2" eb="4">
      <t>キンガク</t>
    </rPh>
    <phoneticPr fontId="3"/>
  </si>
  <si>
    <t>手付金</t>
    <rPh sb="0" eb="2">
      <t>テツケ</t>
    </rPh>
    <rPh sb="2" eb="3">
      <t>キン</t>
    </rPh>
    <phoneticPr fontId="3"/>
  </si>
  <si>
    <t>▲</t>
    <phoneticPr fontId="3"/>
  </si>
  <si>
    <t>中間金</t>
    <rPh sb="0" eb="2">
      <t>チュウカン</t>
    </rPh>
    <rPh sb="2" eb="3">
      <t>キン</t>
    </rPh>
    <phoneticPr fontId="3"/>
  </si>
  <si>
    <t>広告料</t>
    <rPh sb="0" eb="2">
      <t>コウコク</t>
    </rPh>
    <rPh sb="2" eb="3">
      <t>リョウ</t>
    </rPh>
    <phoneticPr fontId="3"/>
  </si>
  <si>
    <t>差引後金額</t>
    <rPh sb="0" eb="2">
      <t>サシヒキ</t>
    </rPh>
    <rPh sb="2" eb="3">
      <t>ゴ</t>
    </rPh>
    <rPh sb="3" eb="5">
      <t>キンガク</t>
    </rPh>
    <phoneticPr fontId="3"/>
  </si>
  <si>
    <t>▲</t>
    <phoneticPr fontId="3"/>
  </si>
  <si>
    <t>▲</t>
    <phoneticPr fontId="3"/>
  </si>
  <si>
    <t xml:space="preserve">  賃貸保証料</t>
    <rPh sb="2" eb="4">
      <t>チンタイ</t>
    </rPh>
    <rPh sb="4" eb="6">
      <t>ホショウ</t>
    </rPh>
    <rPh sb="6" eb="7">
      <t>リョウ</t>
    </rPh>
    <phoneticPr fontId="3"/>
  </si>
  <si>
    <t>　賃貸保証料</t>
    <rPh sb="1" eb="3">
      <t>チンタイ</t>
    </rPh>
    <rPh sb="3" eb="5">
      <t>ホショウ</t>
    </rPh>
    <rPh sb="5" eb="6">
      <t>リョウ</t>
    </rPh>
    <phoneticPr fontId="3"/>
  </si>
  <si>
    <t xml:space="preserve">  保 証 金</t>
    <rPh sb="2" eb="7">
      <t>ホショウキン</t>
    </rPh>
    <phoneticPr fontId="3"/>
  </si>
  <si>
    <t xml:space="preserve">  礼     金</t>
    <rPh sb="2" eb="3">
      <t>レイ</t>
    </rPh>
    <rPh sb="8" eb="9">
      <t>カネ</t>
    </rPh>
    <phoneticPr fontId="3"/>
  </si>
  <si>
    <t>　 礼　　　 金</t>
    <rPh sb="2" eb="3">
      <t>レイ</t>
    </rPh>
    <rPh sb="7" eb="8">
      <t>キン</t>
    </rPh>
    <phoneticPr fontId="3"/>
  </si>
  <si>
    <t>礼金</t>
    <rPh sb="0" eb="1">
      <t>レイ</t>
    </rPh>
    <rPh sb="1" eb="2">
      <t>キン</t>
    </rPh>
    <phoneticPr fontId="3"/>
  </si>
  <si>
    <t>　仲介手数料</t>
    <rPh sb="1" eb="3">
      <t>チュウカイ</t>
    </rPh>
    <rPh sb="3" eb="6">
      <t>テスウリョウ</t>
    </rPh>
    <phoneticPr fontId="3"/>
  </si>
  <si>
    <t>鍵交換代</t>
    <rPh sb="0" eb="1">
      <t>カギ</t>
    </rPh>
    <rPh sb="1" eb="3">
      <t>コウカン</t>
    </rPh>
    <rPh sb="3" eb="4">
      <t>ダイ</t>
    </rPh>
    <phoneticPr fontId="3"/>
  </si>
  <si>
    <t>入居日</t>
    <rPh sb="0" eb="2">
      <t>ニュウキョ</t>
    </rPh>
    <rPh sb="2" eb="3">
      <t>ビ</t>
    </rPh>
    <phoneticPr fontId="3"/>
  </si>
  <si>
    <t>日割その他</t>
    <rPh sb="0" eb="2">
      <t>ヒワリ</t>
    </rPh>
    <rPh sb="4" eb="5">
      <t>タ</t>
    </rPh>
    <phoneticPr fontId="3"/>
  </si>
  <si>
    <t>ご契約誠にありがとうございます。</t>
    <rPh sb="1" eb="3">
      <t>ケイヤク</t>
    </rPh>
    <rPh sb="3" eb="4">
      <t>マコト</t>
    </rPh>
    <phoneticPr fontId="3"/>
  </si>
  <si>
    <t>区</t>
    <rPh sb="0" eb="1">
      <t>ク</t>
    </rPh>
    <phoneticPr fontId="3"/>
  </si>
  <si>
    <t>　　　　　　区役所</t>
    <rPh sb="6" eb="9">
      <t>クヤクショ</t>
    </rPh>
    <phoneticPr fontId="3"/>
  </si>
  <si>
    <t>　　　　　　警察署</t>
    <rPh sb="6" eb="9">
      <t>ケイサツショ</t>
    </rPh>
    <phoneticPr fontId="3"/>
  </si>
  <si>
    <t>関西電力</t>
    <rPh sb="0" eb="2">
      <t>カンサイ</t>
    </rPh>
    <rPh sb="2" eb="4">
      <t>デンリョク</t>
    </rPh>
    <phoneticPr fontId="3"/>
  </si>
  <si>
    <t>大阪ガス</t>
    <rPh sb="0" eb="2">
      <t>オオサカ</t>
    </rPh>
    <phoneticPr fontId="3"/>
  </si>
  <si>
    <t>水道局</t>
    <rPh sb="0" eb="2">
      <t>スイドウ</t>
    </rPh>
    <rPh sb="2" eb="3">
      <t>キョク</t>
    </rPh>
    <phoneticPr fontId="3"/>
  </si>
  <si>
    <t>中央区</t>
    <rPh sb="0" eb="3">
      <t>チュウオウク</t>
    </rPh>
    <phoneticPr fontId="3"/>
  </si>
  <si>
    <t>6267-9986</t>
    <phoneticPr fontId="3"/>
  </si>
  <si>
    <t>久太郎1-2-27</t>
    <rPh sb="0" eb="3">
      <t>キュウタロウ</t>
    </rPh>
    <phoneticPr fontId="3"/>
  </si>
  <si>
    <t>南6281-1234</t>
    <rPh sb="0" eb="1">
      <t>ミナミ</t>
    </rPh>
    <phoneticPr fontId="3"/>
  </si>
  <si>
    <t>東心斎橋1-5-26</t>
    <rPh sb="0" eb="1">
      <t>ヒガシ</t>
    </rPh>
    <rPh sb="1" eb="4">
      <t>シンサイバシ</t>
    </rPh>
    <phoneticPr fontId="3"/>
  </si>
  <si>
    <t>0800-777-8012</t>
    <phoneticPr fontId="3"/>
  </si>
  <si>
    <t>06-6458-1132</t>
    <phoneticPr fontId="3"/>
  </si>
  <si>
    <t>東6268-1234</t>
    <rPh sb="0" eb="1">
      <t>ヒガシ</t>
    </rPh>
    <phoneticPr fontId="3"/>
  </si>
  <si>
    <t>本町1-3-18</t>
    <rPh sb="0" eb="2">
      <t>ホンマチ</t>
    </rPh>
    <phoneticPr fontId="3"/>
  </si>
  <si>
    <t>0800-777-8021</t>
    <phoneticPr fontId="3"/>
  </si>
  <si>
    <t>天王寺区</t>
    <rPh sb="0" eb="4">
      <t>テンノウジク</t>
    </rPh>
    <phoneticPr fontId="3"/>
  </si>
  <si>
    <t>6774-9986</t>
    <phoneticPr fontId="3"/>
  </si>
  <si>
    <t>真法院町20-33</t>
    <rPh sb="0" eb="1">
      <t>シン</t>
    </rPh>
    <rPh sb="1" eb="2">
      <t>ホウ</t>
    </rPh>
    <rPh sb="2" eb="3">
      <t>イン</t>
    </rPh>
    <rPh sb="3" eb="4">
      <t>チョウ</t>
    </rPh>
    <phoneticPr fontId="3"/>
  </si>
  <si>
    <t>6913-1234</t>
    <phoneticPr fontId="3"/>
  </si>
  <si>
    <t>六万体5-8</t>
    <rPh sb="0" eb="2">
      <t>ロクマンタイ</t>
    </rPh>
    <rPh sb="2" eb="3">
      <t>カラダ</t>
    </rPh>
    <phoneticPr fontId="3"/>
  </si>
  <si>
    <t>0800-777-8012</t>
    <phoneticPr fontId="3"/>
  </si>
  <si>
    <t>生野区</t>
    <rPh sb="0" eb="3">
      <t>イクノク</t>
    </rPh>
    <phoneticPr fontId="3"/>
  </si>
  <si>
    <t>6715-9986</t>
    <phoneticPr fontId="3"/>
  </si>
  <si>
    <t>勝山南3-1-19</t>
    <rPh sb="0" eb="2">
      <t>カツヤマ</t>
    </rPh>
    <rPh sb="2" eb="3">
      <t>ミナミ</t>
    </rPh>
    <phoneticPr fontId="3"/>
  </si>
  <si>
    <t>6712-1234</t>
    <phoneticPr fontId="3"/>
  </si>
  <si>
    <t>勝山北3-14-12</t>
    <rPh sb="0" eb="2">
      <t>カツヤマ</t>
    </rPh>
    <rPh sb="2" eb="3">
      <t>キタ</t>
    </rPh>
    <phoneticPr fontId="3"/>
  </si>
  <si>
    <t>0800-777-8022</t>
    <phoneticPr fontId="3"/>
  </si>
  <si>
    <t>0800-777-8023</t>
    <phoneticPr fontId="3"/>
  </si>
  <si>
    <t>東成区</t>
    <rPh sb="0" eb="3">
      <t>ヒガシナリク</t>
    </rPh>
    <phoneticPr fontId="3"/>
  </si>
  <si>
    <t>6977-9986</t>
    <phoneticPr fontId="3"/>
  </si>
  <si>
    <t>大今里西2-4-8</t>
    <rPh sb="0" eb="3">
      <t>オオイマザト</t>
    </rPh>
    <rPh sb="3" eb="4">
      <t>ニシ</t>
    </rPh>
    <phoneticPr fontId="3"/>
  </si>
  <si>
    <t>6974-1234</t>
    <phoneticPr fontId="3"/>
  </si>
  <si>
    <t>大今里西1-25-15</t>
    <rPh sb="0" eb="3">
      <t>オオイマザト</t>
    </rPh>
    <rPh sb="3" eb="4">
      <t>ニシ</t>
    </rPh>
    <phoneticPr fontId="3"/>
  </si>
  <si>
    <t>0800-777-8012</t>
  </si>
  <si>
    <t>北区</t>
    <rPh sb="0" eb="2">
      <t>キタク</t>
    </rPh>
    <phoneticPr fontId="3"/>
  </si>
  <si>
    <t>6313-9986</t>
    <phoneticPr fontId="3"/>
  </si>
  <si>
    <t>扇町2-1-27</t>
    <rPh sb="0" eb="2">
      <t>オウギマチ</t>
    </rPh>
    <phoneticPr fontId="3"/>
  </si>
  <si>
    <t>6376-1234</t>
    <phoneticPr fontId="3"/>
  </si>
  <si>
    <t>中津1-5-25</t>
    <rPh sb="0" eb="2">
      <t>ナカツ</t>
    </rPh>
    <phoneticPr fontId="3"/>
  </si>
  <si>
    <t>城東区</t>
    <rPh sb="0" eb="3">
      <t>ジョウトウク</t>
    </rPh>
    <phoneticPr fontId="3"/>
  </si>
  <si>
    <t>6930-9986</t>
    <phoneticPr fontId="3"/>
  </si>
  <si>
    <t>中央3-4-29</t>
    <rPh sb="0" eb="2">
      <t>チュウオウ</t>
    </rPh>
    <phoneticPr fontId="3"/>
  </si>
  <si>
    <t>6934-1234</t>
    <phoneticPr fontId="3"/>
  </si>
  <si>
    <t>中央1-9-38</t>
    <rPh sb="0" eb="2">
      <t>チュウオウ</t>
    </rPh>
    <phoneticPr fontId="3"/>
  </si>
  <si>
    <t>阿倍野区</t>
    <rPh sb="0" eb="4">
      <t>アベノク</t>
    </rPh>
    <phoneticPr fontId="3"/>
  </si>
  <si>
    <t>6622-9986</t>
    <phoneticPr fontId="3"/>
  </si>
  <si>
    <t>文の里1-1-40</t>
    <rPh sb="0" eb="3">
      <t>フミノサト</t>
    </rPh>
    <phoneticPr fontId="3"/>
  </si>
  <si>
    <t>6653-1234</t>
    <phoneticPr fontId="3"/>
  </si>
  <si>
    <t>阿倍野5-13-5</t>
    <rPh sb="0" eb="3">
      <t>アベノ</t>
    </rPh>
    <phoneticPr fontId="3"/>
  </si>
  <si>
    <t>0800-777-8022</t>
    <phoneticPr fontId="3"/>
  </si>
  <si>
    <t>西区</t>
    <rPh sb="0" eb="2">
      <t>ニシク</t>
    </rPh>
    <phoneticPr fontId="3"/>
  </si>
  <si>
    <t>6532-9625</t>
    <phoneticPr fontId="3"/>
  </si>
  <si>
    <t>新町4-5-14</t>
    <rPh sb="0" eb="1">
      <t>シンマ</t>
    </rPh>
    <rPh sb="1" eb="2">
      <t>マチ</t>
    </rPh>
    <phoneticPr fontId="3"/>
  </si>
  <si>
    <t>6583-1234</t>
    <phoneticPr fontId="3"/>
  </si>
  <si>
    <t>川口2-6-3</t>
    <rPh sb="0" eb="2">
      <t>カワグチ</t>
    </rPh>
    <phoneticPr fontId="3"/>
  </si>
  <si>
    <t>0800-777-8011</t>
    <phoneticPr fontId="3"/>
  </si>
  <si>
    <t>浪速区</t>
    <rPh sb="0" eb="3">
      <t>ナニワク</t>
    </rPh>
    <phoneticPr fontId="3"/>
  </si>
  <si>
    <t>6647-9986</t>
    <phoneticPr fontId="3"/>
  </si>
  <si>
    <t>難波中3-11-16</t>
    <rPh sb="0" eb="3">
      <t>ナンバナカ</t>
    </rPh>
    <phoneticPr fontId="3"/>
  </si>
  <si>
    <t>6633-1234</t>
    <phoneticPr fontId="3"/>
  </si>
  <si>
    <t>日本橋5-5-11</t>
    <rPh sb="0" eb="3">
      <t>ニホンバシ</t>
    </rPh>
    <phoneticPr fontId="3"/>
  </si>
  <si>
    <t>0800-777-8021</t>
  </si>
  <si>
    <t>旭区</t>
    <rPh sb="0" eb="2">
      <t>アサヒク</t>
    </rPh>
    <phoneticPr fontId="3"/>
  </si>
  <si>
    <t>6957-9986</t>
    <phoneticPr fontId="3"/>
  </si>
  <si>
    <t>大宮1-1-17</t>
    <rPh sb="0" eb="2">
      <t>オオミヤ</t>
    </rPh>
    <phoneticPr fontId="3"/>
  </si>
  <si>
    <t>6952-1234</t>
    <phoneticPr fontId="3"/>
  </si>
  <si>
    <t>大宮5-12-20</t>
    <rPh sb="0" eb="2">
      <t>オオミヤ</t>
    </rPh>
    <phoneticPr fontId="3"/>
  </si>
  <si>
    <t>0800-777-8016</t>
    <phoneticPr fontId="3"/>
  </si>
  <si>
    <t>鶴見区</t>
    <rPh sb="0" eb="3">
      <t>ツルミク</t>
    </rPh>
    <phoneticPr fontId="3"/>
  </si>
  <si>
    <t>6915-9986</t>
    <phoneticPr fontId="3"/>
  </si>
  <si>
    <t>横堤5-4-19</t>
    <rPh sb="0" eb="1">
      <t>ヨコ</t>
    </rPh>
    <rPh sb="1" eb="2">
      <t>ツツミ</t>
    </rPh>
    <phoneticPr fontId="3"/>
  </si>
  <si>
    <t>6913-1234</t>
    <phoneticPr fontId="3"/>
  </si>
  <si>
    <t>諸口6-1-1</t>
    <rPh sb="0" eb="1">
      <t>モロ</t>
    </rPh>
    <rPh sb="1" eb="2">
      <t>グチ</t>
    </rPh>
    <phoneticPr fontId="3"/>
  </si>
  <si>
    <t>0800-777-8012</t>
    <phoneticPr fontId="3"/>
  </si>
  <si>
    <t>都島区</t>
    <rPh sb="0" eb="3">
      <t>ミヤコジマク</t>
    </rPh>
    <phoneticPr fontId="3"/>
  </si>
  <si>
    <t>6882-9986</t>
    <phoneticPr fontId="3"/>
  </si>
  <si>
    <t>中野2-16-20</t>
    <rPh sb="0" eb="2">
      <t>ナカノ</t>
    </rPh>
    <phoneticPr fontId="3"/>
  </si>
  <si>
    <t>6925-1234</t>
    <phoneticPr fontId="3"/>
  </si>
  <si>
    <t>都島北1-7-1</t>
    <rPh sb="0" eb="2">
      <t>ミヤコジマ</t>
    </rPh>
    <rPh sb="2" eb="3">
      <t>キタ</t>
    </rPh>
    <phoneticPr fontId="3"/>
  </si>
  <si>
    <t>住之江区</t>
    <rPh sb="0" eb="4">
      <t>スミノエク</t>
    </rPh>
    <phoneticPr fontId="3"/>
  </si>
  <si>
    <t>6682-9986</t>
    <phoneticPr fontId="3"/>
  </si>
  <si>
    <t>御崎3-1-17</t>
    <rPh sb="0" eb="2">
      <t>ミサキ</t>
    </rPh>
    <phoneticPr fontId="3"/>
  </si>
  <si>
    <t>6682-1234</t>
    <phoneticPr fontId="3"/>
  </si>
  <si>
    <t>新北島3-1-24</t>
    <rPh sb="0" eb="3">
      <t>シンキタジマ</t>
    </rPh>
    <phoneticPr fontId="3"/>
  </si>
  <si>
    <t>住吉区</t>
    <rPh sb="0" eb="3">
      <t>スミヨシク</t>
    </rPh>
    <phoneticPr fontId="3"/>
  </si>
  <si>
    <t>6694-9986</t>
    <phoneticPr fontId="3"/>
  </si>
  <si>
    <t>殿辻1-8-18</t>
    <rPh sb="0" eb="1">
      <t>トノ</t>
    </rPh>
    <rPh sb="1" eb="2">
      <t>ツジ</t>
    </rPh>
    <phoneticPr fontId="3"/>
  </si>
  <si>
    <t>6675-1234</t>
    <phoneticPr fontId="3"/>
  </si>
  <si>
    <t>東粉浜3-28-3</t>
    <rPh sb="0" eb="1">
      <t>ヒガシ</t>
    </rPh>
    <rPh sb="1" eb="3">
      <t>コハマ</t>
    </rPh>
    <phoneticPr fontId="3"/>
  </si>
  <si>
    <t>大正区</t>
    <rPh sb="0" eb="2">
      <t>タイショウ</t>
    </rPh>
    <rPh sb="2" eb="3">
      <t>ク</t>
    </rPh>
    <phoneticPr fontId="3"/>
  </si>
  <si>
    <t>4394-9986</t>
    <phoneticPr fontId="3"/>
  </si>
  <si>
    <t>千島2-7-95</t>
    <rPh sb="0" eb="2">
      <t>チシマ</t>
    </rPh>
    <phoneticPr fontId="3"/>
  </si>
  <si>
    <t>6555-1234</t>
    <phoneticPr fontId="3"/>
  </si>
  <si>
    <t>小林東3-4-21</t>
    <rPh sb="0" eb="2">
      <t>コバヤシ</t>
    </rPh>
    <rPh sb="2" eb="3">
      <t>ヒガシ</t>
    </rPh>
    <phoneticPr fontId="3"/>
  </si>
  <si>
    <t>0800-777-8011</t>
    <phoneticPr fontId="3"/>
  </si>
  <si>
    <t>西成区</t>
    <rPh sb="0" eb="3">
      <t>ニシナリク</t>
    </rPh>
    <phoneticPr fontId="3"/>
  </si>
  <si>
    <t>6659-9986</t>
    <phoneticPr fontId="3"/>
  </si>
  <si>
    <t>岸里1-1-64</t>
    <rPh sb="0" eb="2">
      <t>キシサト</t>
    </rPh>
    <phoneticPr fontId="3"/>
  </si>
  <si>
    <t>6648-1234</t>
    <phoneticPr fontId="3"/>
  </si>
  <si>
    <t>萩之茶屋2-4-2</t>
    <rPh sb="0" eb="4">
      <t>ハギノチャヤ</t>
    </rPh>
    <phoneticPr fontId="3"/>
  </si>
  <si>
    <t>東住吉区</t>
    <rPh sb="0" eb="1">
      <t>ヒガシ</t>
    </rPh>
    <rPh sb="1" eb="4">
      <t>スミヨシク</t>
    </rPh>
    <phoneticPr fontId="3"/>
  </si>
  <si>
    <t>4399-9986</t>
    <phoneticPr fontId="3"/>
  </si>
  <si>
    <t>東田辺1-13-4</t>
    <rPh sb="0" eb="1">
      <t>ヒガシ</t>
    </rPh>
    <rPh sb="1" eb="3">
      <t>タナベ</t>
    </rPh>
    <phoneticPr fontId="3"/>
  </si>
  <si>
    <t>6697-1234</t>
    <phoneticPr fontId="3"/>
  </si>
  <si>
    <t>東田辺2-11-39</t>
    <rPh sb="0" eb="1">
      <t>ヒガシ</t>
    </rPh>
    <rPh sb="1" eb="3">
      <t>タナベ</t>
    </rPh>
    <phoneticPr fontId="3"/>
  </si>
  <si>
    <t>平野区</t>
    <rPh sb="0" eb="3">
      <t>ヒラノク</t>
    </rPh>
    <phoneticPr fontId="3"/>
  </si>
  <si>
    <t>4302-9986</t>
    <phoneticPr fontId="3"/>
  </si>
  <si>
    <t>平野西3-5-5</t>
    <rPh sb="0" eb="2">
      <t>ヒラノ</t>
    </rPh>
    <rPh sb="2" eb="3">
      <t>ニシ</t>
    </rPh>
    <phoneticPr fontId="3"/>
  </si>
  <si>
    <t>6794-1234</t>
    <phoneticPr fontId="3"/>
  </si>
  <si>
    <t>平野元町5-20</t>
    <rPh sb="0" eb="2">
      <t>ヒラノ</t>
    </rPh>
    <rPh sb="2" eb="4">
      <t>モトマチ</t>
    </rPh>
    <phoneticPr fontId="3"/>
  </si>
  <si>
    <t>港区</t>
    <rPh sb="0" eb="2">
      <t>ミナトク</t>
    </rPh>
    <phoneticPr fontId="3"/>
  </si>
  <si>
    <t>6576-9986</t>
    <phoneticPr fontId="3"/>
  </si>
  <si>
    <t>市岡1-15-25</t>
    <rPh sb="0" eb="2">
      <t>イチオカ</t>
    </rPh>
    <phoneticPr fontId="3"/>
  </si>
  <si>
    <t>6574-1234</t>
    <phoneticPr fontId="3"/>
  </si>
  <si>
    <t>市岡1-6-22</t>
    <rPh sb="0" eb="2">
      <t>イチオカ</t>
    </rPh>
    <phoneticPr fontId="3"/>
  </si>
  <si>
    <t>此花区</t>
    <rPh sb="0" eb="3">
      <t>コノハナク</t>
    </rPh>
    <phoneticPr fontId="3"/>
  </si>
  <si>
    <t>6466-9986</t>
    <phoneticPr fontId="3"/>
  </si>
  <si>
    <t>春日出北1-8-4</t>
    <rPh sb="0" eb="2">
      <t>カスガ</t>
    </rPh>
    <rPh sb="2" eb="3">
      <t>デ</t>
    </rPh>
    <rPh sb="3" eb="4">
      <t>キタ</t>
    </rPh>
    <phoneticPr fontId="3"/>
  </si>
  <si>
    <t>6466-1234</t>
    <phoneticPr fontId="3"/>
  </si>
  <si>
    <t>春日出北1-3-2</t>
    <rPh sb="0" eb="2">
      <t>カスガ</t>
    </rPh>
    <rPh sb="2" eb="3">
      <t>デ</t>
    </rPh>
    <rPh sb="3" eb="4">
      <t>キタ</t>
    </rPh>
    <phoneticPr fontId="3"/>
  </si>
  <si>
    <t>西淀川区</t>
    <rPh sb="0" eb="1">
      <t>ニシ</t>
    </rPh>
    <rPh sb="1" eb="4">
      <t>ヨドガワク</t>
    </rPh>
    <phoneticPr fontId="3"/>
  </si>
  <si>
    <t>6478-9986</t>
    <phoneticPr fontId="3"/>
  </si>
  <si>
    <t>御幣島1-2-10</t>
    <rPh sb="0" eb="3">
      <t>ミテジマ</t>
    </rPh>
    <phoneticPr fontId="3"/>
  </si>
  <si>
    <t>6474-1234</t>
    <phoneticPr fontId="3"/>
  </si>
  <si>
    <t>千船2-6-24</t>
    <rPh sb="0" eb="2">
      <t>チフネ</t>
    </rPh>
    <phoneticPr fontId="3"/>
  </si>
  <si>
    <t>淀川区</t>
    <rPh sb="0" eb="3">
      <t>ヨドガワク</t>
    </rPh>
    <phoneticPr fontId="3"/>
  </si>
  <si>
    <t>6308-9986</t>
    <phoneticPr fontId="3"/>
  </si>
  <si>
    <t>十三東1-18-21</t>
    <rPh sb="0" eb="2">
      <t>ジュウソウ</t>
    </rPh>
    <rPh sb="2" eb="3">
      <t>ヒガシ</t>
    </rPh>
    <phoneticPr fontId="3"/>
  </si>
  <si>
    <t>6305-1234</t>
    <phoneticPr fontId="3"/>
  </si>
  <si>
    <t>十三本町3-7-27</t>
    <rPh sb="0" eb="2">
      <t>ジュウソウ</t>
    </rPh>
    <rPh sb="2" eb="4">
      <t>ホンマチ</t>
    </rPh>
    <phoneticPr fontId="3"/>
  </si>
  <si>
    <t>0800-777-8014</t>
    <phoneticPr fontId="3"/>
  </si>
  <si>
    <t>東淀川区</t>
    <rPh sb="0" eb="1">
      <t>ヒガシ</t>
    </rPh>
    <rPh sb="1" eb="4">
      <t>ヨドガワク</t>
    </rPh>
    <phoneticPr fontId="3"/>
  </si>
  <si>
    <t>4809-9986</t>
    <phoneticPr fontId="3"/>
  </si>
  <si>
    <t>豊新2-1-4</t>
    <rPh sb="0" eb="1">
      <t>トヨ</t>
    </rPh>
    <rPh sb="1" eb="2">
      <t>シン</t>
    </rPh>
    <phoneticPr fontId="3"/>
  </si>
  <si>
    <t>6325-1234</t>
    <phoneticPr fontId="3"/>
  </si>
  <si>
    <t>豊新1-6-18</t>
    <rPh sb="0" eb="1">
      <t>トヨ</t>
    </rPh>
    <rPh sb="1" eb="2">
      <t>シン</t>
    </rPh>
    <phoneticPr fontId="3"/>
  </si>
  <si>
    <t>0800-777-8015</t>
    <phoneticPr fontId="3"/>
  </si>
  <si>
    <t>福島区</t>
    <rPh sb="0" eb="3">
      <t>フクシマク</t>
    </rPh>
    <phoneticPr fontId="3"/>
  </si>
  <si>
    <t>6464-9986</t>
    <phoneticPr fontId="3"/>
  </si>
  <si>
    <t>吉野3-17-23</t>
    <rPh sb="0" eb="2">
      <t>ヨシノ</t>
    </rPh>
    <phoneticPr fontId="3"/>
  </si>
  <si>
    <t>6465-1234</t>
    <phoneticPr fontId="3"/>
  </si>
  <si>
    <t>吉野4-9-19</t>
    <rPh sb="0" eb="2">
      <t>ヨシノ</t>
    </rPh>
    <phoneticPr fontId="3"/>
  </si>
  <si>
    <t>ライフライン開栓・接続時の注意事項</t>
    <rPh sb="6" eb="7">
      <t>カイ</t>
    </rPh>
    <rPh sb="7" eb="8">
      <t>セン</t>
    </rPh>
    <rPh sb="9" eb="11">
      <t>セツゾク</t>
    </rPh>
    <rPh sb="11" eb="12">
      <t>ジ</t>
    </rPh>
    <rPh sb="13" eb="15">
      <t>チュウイ</t>
    </rPh>
    <rPh sb="15" eb="17">
      <t>ジコウ</t>
    </rPh>
    <phoneticPr fontId="3"/>
  </si>
  <si>
    <t>借主届出</t>
    <rPh sb="0" eb="2">
      <t>カリヌシ</t>
    </rPh>
    <rPh sb="2" eb="4">
      <t>トドケデ</t>
    </rPh>
    <phoneticPr fontId="3"/>
  </si>
  <si>
    <t>開栓・接続手続き</t>
    <rPh sb="0" eb="1">
      <t>カイ</t>
    </rPh>
    <rPh sb="1" eb="2">
      <t>セン</t>
    </rPh>
    <rPh sb="3" eb="5">
      <t>セツゾク</t>
    </rPh>
    <rPh sb="5" eb="7">
      <t>テツヅ</t>
    </rPh>
    <phoneticPr fontId="3"/>
  </si>
  <si>
    <t>立会い</t>
    <rPh sb="0" eb="2">
      <t>タチア</t>
    </rPh>
    <phoneticPr fontId="3"/>
  </si>
  <si>
    <t>※備考</t>
    <rPh sb="1" eb="3">
      <t>ビコウ</t>
    </rPh>
    <phoneticPr fontId="3"/>
  </si>
  <si>
    <t>注意点</t>
    <rPh sb="0" eb="3">
      <t>チュウイテン</t>
    </rPh>
    <phoneticPr fontId="3"/>
  </si>
  <si>
    <t>電気</t>
    <rPh sb="0" eb="2">
      <t>デンキ</t>
    </rPh>
    <phoneticPr fontId="3"/>
  </si>
  <si>
    <t>入居時に使用者番号を電話</t>
    <rPh sb="0" eb="2">
      <t>ニュウキョ</t>
    </rPh>
    <rPh sb="2" eb="3">
      <t>ジ</t>
    </rPh>
    <rPh sb="4" eb="7">
      <t>シヨウシャ</t>
    </rPh>
    <rPh sb="7" eb="9">
      <t>バンゴウ</t>
    </rPh>
    <rPh sb="10" eb="12">
      <t>デンワ</t>
    </rPh>
    <phoneticPr fontId="3"/>
  </si>
  <si>
    <t>各自建物内のブレーカー</t>
    <rPh sb="0" eb="2">
      <t>カクジ</t>
    </rPh>
    <rPh sb="2" eb="4">
      <t>タテモノ</t>
    </rPh>
    <rPh sb="4" eb="5">
      <t>ナイ</t>
    </rPh>
    <phoneticPr fontId="3"/>
  </si>
  <si>
    <t>基本的に不要です</t>
    <rPh sb="0" eb="3">
      <t>キホンテキ</t>
    </rPh>
    <rPh sb="4" eb="6">
      <t>フヨウ</t>
    </rPh>
    <phoneticPr fontId="3"/>
  </si>
  <si>
    <t>通常指定用紙が玄関ドア上部に</t>
    <rPh sb="0" eb="2">
      <t>ツウジョウ</t>
    </rPh>
    <rPh sb="2" eb="4">
      <t>シテイ</t>
    </rPh>
    <rPh sb="4" eb="6">
      <t>ヨウシ</t>
    </rPh>
    <rPh sb="7" eb="9">
      <t>ゲンカン</t>
    </rPh>
    <rPh sb="11" eb="13">
      <t>ジョウブ</t>
    </rPh>
    <phoneticPr fontId="3"/>
  </si>
  <si>
    <t>オール電化マンションは、開栓時にその旨</t>
    <rPh sb="3" eb="5">
      <t>デンカ</t>
    </rPh>
    <rPh sb="12" eb="13">
      <t>カイ</t>
    </rPh>
    <rPh sb="13" eb="14">
      <t>セン</t>
    </rPh>
    <rPh sb="14" eb="15">
      <t>ジ</t>
    </rPh>
    <rPh sb="18" eb="19">
      <t>ムネ</t>
    </rPh>
    <phoneticPr fontId="3"/>
  </si>
  <si>
    <t>連絡ください。建物内に使用</t>
    <rPh sb="0" eb="2">
      <t>レンラク</t>
    </rPh>
    <rPh sb="7" eb="9">
      <t>タテモノ</t>
    </rPh>
    <rPh sb="9" eb="10">
      <t>ナイ</t>
    </rPh>
    <rPh sb="11" eb="13">
      <t>シヨウ</t>
    </rPh>
    <phoneticPr fontId="3"/>
  </si>
  <si>
    <t>を上げてください。</t>
    <rPh sb="1" eb="2">
      <t>ア</t>
    </rPh>
    <phoneticPr fontId="3"/>
  </si>
  <si>
    <t>但し不通状態の際には</t>
    <rPh sb="0" eb="1">
      <t>タダ</t>
    </rPh>
    <rPh sb="2" eb="4">
      <t>フツウ</t>
    </rPh>
    <rPh sb="4" eb="6">
      <t>ジョウタイ</t>
    </rPh>
    <rPh sb="7" eb="8">
      <t>サイ</t>
    </rPh>
    <phoneticPr fontId="3"/>
  </si>
  <si>
    <t>吊り下がっています。</t>
    <rPh sb="0" eb="1">
      <t>ツ</t>
    </rPh>
    <rPh sb="2" eb="3">
      <t>サ</t>
    </rPh>
    <phoneticPr fontId="3"/>
  </si>
  <si>
    <t>を関西電力にお伝えください。また電気給湯</t>
    <rPh sb="1" eb="3">
      <t>カンサイ</t>
    </rPh>
    <rPh sb="3" eb="5">
      <t>デンリョク</t>
    </rPh>
    <rPh sb="7" eb="8">
      <t>ツタ</t>
    </rPh>
    <rPh sb="16" eb="18">
      <t>デンキ</t>
    </rPh>
    <rPh sb="18" eb="20">
      <t>キュウトウ</t>
    </rPh>
    <phoneticPr fontId="3"/>
  </si>
  <si>
    <t>番号記載の用紙があります。</t>
    <rPh sb="0" eb="2">
      <t>バンゴウ</t>
    </rPh>
    <rPh sb="2" eb="4">
      <t>キサイ</t>
    </rPh>
    <rPh sb="5" eb="7">
      <t>ヨウシ</t>
    </rPh>
    <phoneticPr fontId="3"/>
  </si>
  <si>
    <t>◎各自で行います。</t>
    <rPh sb="1" eb="3">
      <t>カクジ</t>
    </rPh>
    <rPh sb="4" eb="5">
      <t>オコナ</t>
    </rPh>
    <phoneticPr fontId="3"/>
  </si>
  <si>
    <t>要立会いになります。</t>
    <rPh sb="0" eb="1">
      <t>ヨウ</t>
    </rPh>
    <rPh sb="1" eb="3">
      <t>タチア</t>
    </rPh>
    <phoneticPr fontId="3"/>
  </si>
  <si>
    <t>（赤色のはがき位の大きさ）</t>
    <rPh sb="1" eb="3">
      <t>アカイロ</t>
    </rPh>
    <rPh sb="7" eb="8">
      <t>クライ</t>
    </rPh>
    <rPh sb="9" eb="10">
      <t>オオ</t>
    </rPh>
    <phoneticPr fontId="3"/>
  </si>
  <si>
    <t>器は開栓後電源を入れ、しばらくしないと、</t>
    <rPh sb="0" eb="1">
      <t>キ</t>
    </rPh>
    <rPh sb="2" eb="3">
      <t>カイ</t>
    </rPh>
    <rPh sb="3" eb="4">
      <t>セン</t>
    </rPh>
    <rPh sb="4" eb="5">
      <t>ゴ</t>
    </rPh>
    <rPh sb="5" eb="7">
      <t>デンゲン</t>
    </rPh>
    <rPh sb="8" eb="9">
      <t>イ</t>
    </rPh>
    <phoneticPr fontId="3"/>
  </si>
  <si>
    <t>お湯が使用できません。</t>
    <rPh sb="1" eb="2">
      <t>ユ</t>
    </rPh>
    <rPh sb="3" eb="5">
      <t>シヨウ</t>
    </rPh>
    <phoneticPr fontId="3"/>
  </si>
  <si>
    <t>水道</t>
    <rPh sb="0" eb="2">
      <t>スイドウ</t>
    </rPh>
    <phoneticPr fontId="3"/>
  </si>
  <si>
    <t>基本的に不要です。</t>
    <rPh sb="0" eb="3">
      <t>キホンテキ</t>
    </rPh>
    <rPh sb="4" eb="6">
      <t>フヨウ</t>
    </rPh>
    <phoneticPr fontId="3"/>
  </si>
  <si>
    <t>基本的に開栓済です。</t>
    <rPh sb="0" eb="3">
      <t>キホンテキ</t>
    </rPh>
    <rPh sb="4" eb="5">
      <t>カイ</t>
    </rPh>
    <rPh sb="5" eb="6">
      <t>セン</t>
    </rPh>
    <rPh sb="6" eb="7">
      <t>スミ</t>
    </rPh>
    <phoneticPr fontId="3"/>
  </si>
  <si>
    <t>開栓手続き不要の場合がほとん</t>
    <rPh sb="0" eb="1">
      <t>カイ</t>
    </rPh>
    <rPh sb="1" eb="2">
      <t>セン</t>
    </rPh>
    <rPh sb="2" eb="4">
      <t>テツヅ</t>
    </rPh>
    <rPh sb="5" eb="7">
      <t>フヨウ</t>
    </rPh>
    <rPh sb="8" eb="10">
      <t>バアイ</t>
    </rPh>
    <phoneticPr fontId="3"/>
  </si>
  <si>
    <t>物件・地域によっては申込金</t>
    <rPh sb="0" eb="2">
      <t>ブッケン</t>
    </rPh>
    <rPh sb="3" eb="5">
      <t>チイキ</t>
    </rPh>
    <rPh sb="10" eb="12">
      <t>モウシコミ</t>
    </rPh>
    <rPh sb="12" eb="13">
      <t>キン</t>
    </rPh>
    <phoneticPr fontId="3"/>
  </si>
  <si>
    <t>停止状態の際は止水栓を</t>
    <rPh sb="0" eb="2">
      <t>テイシ</t>
    </rPh>
    <rPh sb="2" eb="4">
      <t>ジョウタイ</t>
    </rPh>
    <rPh sb="5" eb="6">
      <t>サイ</t>
    </rPh>
    <rPh sb="7" eb="9">
      <t>シスイ</t>
    </rPh>
    <rPh sb="9" eb="10">
      <t>セン</t>
    </rPh>
    <phoneticPr fontId="3"/>
  </si>
  <si>
    <t>どですが、念の為水道局に連絡</t>
    <rPh sb="5" eb="6">
      <t>ネン</t>
    </rPh>
    <rPh sb="7" eb="8">
      <t>タメ</t>
    </rPh>
    <rPh sb="8" eb="11">
      <t>スイドウキョク</t>
    </rPh>
    <rPh sb="12" eb="14">
      <t>レンラク</t>
    </rPh>
    <phoneticPr fontId="3"/>
  </si>
  <si>
    <t>等必要な場合もあります。</t>
    <rPh sb="0" eb="1">
      <t>トウ</t>
    </rPh>
    <rPh sb="1" eb="3">
      <t>ヒツヨウ</t>
    </rPh>
    <rPh sb="4" eb="6">
      <t>バアイ</t>
    </rPh>
    <phoneticPr fontId="3"/>
  </si>
  <si>
    <t>開けてください。</t>
    <rPh sb="0" eb="1">
      <t>ア</t>
    </rPh>
    <phoneticPr fontId="3"/>
  </si>
  <si>
    <t>するようにしてください。</t>
    <phoneticPr fontId="3"/>
  </si>
  <si>
    <t>ガス</t>
    <phoneticPr fontId="3"/>
  </si>
  <si>
    <t>電話連絡の上、係員に来て欲</t>
    <rPh sb="0" eb="2">
      <t>デンワ</t>
    </rPh>
    <rPh sb="2" eb="4">
      <t>レンラク</t>
    </rPh>
    <rPh sb="5" eb="6">
      <t>ウエ</t>
    </rPh>
    <rPh sb="7" eb="9">
      <t>カカリイン</t>
    </rPh>
    <rPh sb="10" eb="11">
      <t>キ</t>
    </rPh>
    <rPh sb="12" eb="13">
      <t>ホ</t>
    </rPh>
    <phoneticPr fontId="3"/>
  </si>
  <si>
    <t>入居者立会いのもと、係員</t>
    <rPh sb="0" eb="3">
      <t>ニュウキョシャ</t>
    </rPh>
    <rPh sb="3" eb="5">
      <t>タチア</t>
    </rPh>
    <rPh sb="10" eb="12">
      <t>カカリイン</t>
    </rPh>
    <phoneticPr fontId="3"/>
  </si>
  <si>
    <t>★絶対必要★</t>
    <rPh sb="1" eb="3">
      <t>ゼッタイ</t>
    </rPh>
    <rPh sb="3" eb="5">
      <t>ヒツヨウ</t>
    </rPh>
    <phoneticPr fontId="3"/>
  </si>
  <si>
    <t>当日予約は混雑の為、受付けて</t>
    <rPh sb="0" eb="2">
      <t>トウジツ</t>
    </rPh>
    <rPh sb="2" eb="4">
      <t>ヨヤク</t>
    </rPh>
    <rPh sb="5" eb="7">
      <t>コンザツ</t>
    </rPh>
    <rPh sb="8" eb="9">
      <t>タメ</t>
    </rPh>
    <rPh sb="10" eb="11">
      <t>ウ</t>
    </rPh>
    <rPh sb="11" eb="12">
      <t>ツ</t>
    </rPh>
    <phoneticPr fontId="3"/>
  </si>
  <si>
    <t>開栓手続きの際はガス漏れ点検の為、ガス</t>
    <rPh sb="0" eb="1">
      <t>カイ</t>
    </rPh>
    <rPh sb="1" eb="2">
      <t>セン</t>
    </rPh>
    <rPh sb="2" eb="4">
      <t>テツヅ</t>
    </rPh>
    <rPh sb="6" eb="7">
      <t>サイ</t>
    </rPh>
    <rPh sb="10" eb="11">
      <t>モ</t>
    </rPh>
    <rPh sb="12" eb="14">
      <t>テンケン</t>
    </rPh>
    <rPh sb="15" eb="16">
      <t>タメ</t>
    </rPh>
    <phoneticPr fontId="3"/>
  </si>
  <si>
    <t>い日時を指定してください。</t>
    <rPh sb="1" eb="3">
      <t>ニチジ</t>
    </rPh>
    <rPh sb="4" eb="6">
      <t>シテイ</t>
    </rPh>
    <phoneticPr fontId="3"/>
  </si>
  <si>
    <t>が開栓し、ガス漏れチェック</t>
    <rPh sb="1" eb="2">
      <t>カイ</t>
    </rPh>
    <rPh sb="2" eb="3">
      <t>セン</t>
    </rPh>
    <rPh sb="7" eb="8">
      <t>モ</t>
    </rPh>
    <phoneticPr fontId="3"/>
  </si>
  <si>
    <t>事前に立会い日時を</t>
    <rPh sb="0" eb="2">
      <t>ジゼン</t>
    </rPh>
    <rPh sb="3" eb="5">
      <t>タチア</t>
    </rPh>
    <rPh sb="6" eb="8">
      <t>ニチジ</t>
    </rPh>
    <phoneticPr fontId="3"/>
  </si>
  <si>
    <t>もらえない事がほとんどです。</t>
    <rPh sb="5" eb="6">
      <t>コト</t>
    </rPh>
    <phoneticPr fontId="3"/>
  </si>
  <si>
    <t>器具をご用意ください。（給湯器・ガスコンロ</t>
    <rPh sb="0" eb="2">
      <t>キグ</t>
    </rPh>
    <rPh sb="4" eb="6">
      <t>ヨウイ</t>
    </rPh>
    <rPh sb="12" eb="15">
      <t>キュウトウキ</t>
    </rPh>
    <phoneticPr fontId="3"/>
  </si>
  <si>
    <t>電話では引越による開栓とお</t>
    <rPh sb="0" eb="2">
      <t>デンワ</t>
    </rPh>
    <rPh sb="4" eb="6">
      <t>ヒッコシ</t>
    </rPh>
    <rPh sb="9" eb="10">
      <t>カイ</t>
    </rPh>
    <rPh sb="10" eb="11">
      <t>セン</t>
    </rPh>
    <phoneticPr fontId="3"/>
  </si>
  <si>
    <t>をします。</t>
    <phoneticPr fontId="3"/>
  </si>
  <si>
    <t>予約してください。</t>
    <rPh sb="0" eb="2">
      <t>ヨヤク</t>
    </rPh>
    <phoneticPr fontId="3"/>
  </si>
  <si>
    <t>等があれば、ＯＫです。）</t>
    <rPh sb="0" eb="1">
      <t>トウ</t>
    </rPh>
    <phoneticPr fontId="3"/>
  </si>
  <si>
    <t>伝えください。</t>
    <rPh sb="0" eb="1">
      <t>ツタ</t>
    </rPh>
    <phoneticPr fontId="3"/>
  </si>
  <si>
    <t>立会い時に認印が必要です。</t>
    <rPh sb="0" eb="2">
      <t>タチア</t>
    </rPh>
    <rPh sb="3" eb="4">
      <t>ジ</t>
    </rPh>
    <rPh sb="5" eb="7">
      <t>ミトメイン</t>
    </rPh>
    <rPh sb="8" eb="10">
      <t>ヒツヨウ</t>
    </rPh>
    <phoneticPr fontId="3"/>
  </si>
  <si>
    <t>35万件以上の物件情報を取り揃え、大阪・兵庫・京都全域で</t>
    <rPh sb="2" eb="4">
      <t>マンケン</t>
    </rPh>
    <rPh sb="4" eb="6">
      <t>イジョウ</t>
    </rPh>
    <rPh sb="7" eb="9">
      <t>ブッケン</t>
    </rPh>
    <rPh sb="9" eb="11">
      <t>ジョウホウ</t>
    </rPh>
    <rPh sb="12" eb="13">
      <t>ト</t>
    </rPh>
    <rPh sb="14" eb="15">
      <t>ソロ</t>
    </rPh>
    <rPh sb="17" eb="19">
      <t>オオサカ</t>
    </rPh>
    <rPh sb="20" eb="22">
      <t>ヒョウゴ</t>
    </rPh>
    <rPh sb="23" eb="25">
      <t>キョウト</t>
    </rPh>
    <rPh sb="25" eb="27">
      <t>ゼンイキ</t>
    </rPh>
    <phoneticPr fontId="3"/>
  </si>
  <si>
    <t>のお部屋探しが可能です。ご紹介頂きましたお客様が当店に</t>
    <rPh sb="2" eb="4">
      <t>ヘヤ</t>
    </rPh>
    <rPh sb="4" eb="5">
      <t>サガ</t>
    </rPh>
    <rPh sb="7" eb="9">
      <t>カノウ</t>
    </rPh>
    <rPh sb="13" eb="15">
      <t>ショウカイ</t>
    </rPh>
    <rPh sb="15" eb="16">
      <t>イタダ</t>
    </rPh>
    <rPh sb="21" eb="23">
      <t>キャクサマ</t>
    </rPh>
    <rPh sb="24" eb="26">
      <t>トウテン</t>
    </rPh>
    <phoneticPr fontId="3"/>
  </si>
  <si>
    <t>てご成約頂いた際はご紹介者の方に紹介料を差し上げます。</t>
    <rPh sb="2" eb="4">
      <t>セイヤク</t>
    </rPh>
    <rPh sb="4" eb="5">
      <t>イタダ</t>
    </rPh>
    <rPh sb="7" eb="8">
      <t>サイ</t>
    </rPh>
    <rPh sb="10" eb="13">
      <t>ショウカイシャ</t>
    </rPh>
    <rPh sb="14" eb="15">
      <t>カタ</t>
    </rPh>
    <rPh sb="16" eb="18">
      <t>ショウカイ</t>
    </rPh>
    <rPh sb="18" eb="19">
      <t>リョウ</t>
    </rPh>
    <rPh sb="20" eb="21">
      <t>サ</t>
    </rPh>
    <rPh sb="22" eb="23">
      <t>ア</t>
    </rPh>
    <phoneticPr fontId="3"/>
  </si>
  <si>
    <t>詳細につきましてはご契約時の当店担当者までお問い合わ</t>
    <rPh sb="0" eb="2">
      <t>ショウサイ</t>
    </rPh>
    <rPh sb="10" eb="12">
      <t>ケイヤク</t>
    </rPh>
    <rPh sb="12" eb="13">
      <t>ジ</t>
    </rPh>
    <rPh sb="14" eb="16">
      <t>トウテン</t>
    </rPh>
    <rPh sb="16" eb="19">
      <t>タントウシャ</t>
    </rPh>
    <rPh sb="22" eb="23">
      <t>ト</t>
    </rPh>
    <rPh sb="24" eb="25">
      <t>ア</t>
    </rPh>
    <phoneticPr fontId="3"/>
  </si>
  <si>
    <t>せ下さい。</t>
    <rPh sb="1" eb="2">
      <t>クダ</t>
    </rPh>
    <phoneticPr fontId="3"/>
  </si>
  <si>
    <t>必要書類とお引越しまでの手順</t>
    <rPh sb="0" eb="2">
      <t>ヒツヨウ</t>
    </rPh>
    <rPh sb="2" eb="4">
      <t>ショルイ</t>
    </rPh>
    <rPh sb="6" eb="8">
      <t>ヒッコ</t>
    </rPh>
    <rPh sb="12" eb="14">
      <t>テジュン</t>
    </rPh>
    <phoneticPr fontId="3"/>
  </si>
  <si>
    <t>この度は、賃貸くんでのご契約誠にありがとうございます。</t>
    <rPh sb="2" eb="3">
      <t>タビ</t>
    </rPh>
    <rPh sb="5" eb="7">
      <t>チンタイ</t>
    </rPh>
    <rPh sb="12" eb="14">
      <t>ケイヤク</t>
    </rPh>
    <rPh sb="14" eb="15">
      <t>マコト</t>
    </rPh>
    <phoneticPr fontId="3"/>
  </si>
  <si>
    <t>下記に契約に必要な書類の説明とお引越しまでの手順をお知らせいたします。ご不明な点がございましたら担当までご連絡下さい。</t>
    <rPh sb="0" eb="2">
      <t>カキ</t>
    </rPh>
    <rPh sb="3" eb="5">
      <t>ケイヤク</t>
    </rPh>
    <rPh sb="6" eb="8">
      <t>ヒツヨウ</t>
    </rPh>
    <rPh sb="9" eb="11">
      <t>ショルイ</t>
    </rPh>
    <rPh sb="12" eb="14">
      <t>セツメイ</t>
    </rPh>
    <rPh sb="16" eb="18">
      <t>ヒッコ</t>
    </rPh>
    <rPh sb="22" eb="24">
      <t>テジュン</t>
    </rPh>
    <rPh sb="26" eb="27">
      <t>シ</t>
    </rPh>
    <rPh sb="36" eb="38">
      <t>フメイ</t>
    </rPh>
    <rPh sb="39" eb="40">
      <t>テン</t>
    </rPh>
    <rPh sb="48" eb="50">
      <t>タントウ</t>
    </rPh>
    <rPh sb="53" eb="55">
      <t>レンラク</t>
    </rPh>
    <rPh sb="55" eb="56">
      <t>クダ</t>
    </rPh>
    <phoneticPr fontId="3"/>
  </si>
  <si>
    <t>必要書類</t>
    <rPh sb="0" eb="2">
      <t>ヒツヨウ</t>
    </rPh>
    <rPh sb="2" eb="4">
      <t>ショルイ</t>
    </rPh>
    <phoneticPr fontId="3"/>
  </si>
  <si>
    <t>左記の必要書類は契約書と一緒にお持ち下さい。ご郵送の場合は、配達証明つきでご郵送</t>
    <rPh sb="0" eb="2">
      <t>サキ</t>
    </rPh>
    <rPh sb="3" eb="5">
      <t>ヒツヨウ</t>
    </rPh>
    <rPh sb="5" eb="7">
      <t>ショルイ</t>
    </rPh>
    <rPh sb="8" eb="10">
      <t>ケイヤク</t>
    </rPh>
    <rPh sb="10" eb="11">
      <t>ショ</t>
    </rPh>
    <rPh sb="12" eb="14">
      <t>イッショ</t>
    </rPh>
    <rPh sb="16" eb="17">
      <t>モ</t>
    </rPh>
    <rPh sb="18" eb="19">
      <t>クダ</t>
    </rPh>
    <rPh sb="23" eb="25">
      <t>ユウソウ</t>
    </rPh>
    <rPh sb="26" eb="28">
      <t>バアイ</t>
    </rPh>
    <rPh sb="30" eb="32">
      <t>ハイタツ</t>
    </rPh>
    <rPh sb="32" eb="34">
      <t>ショウメイ</t>
    </rPh>
    <rPh sb="38" eb="40">
      <t>ユウソウ</t>
    </rPh>
    <phoneticPr fontId="3"/>
  </si>
  <si>
    <t>住民票</t>
    <rPh sb="0" eb="3">
      <t>ジュウミンヒョウ</t>
    </rPh>
    <phoneticPr fontId="3"/>
  </si>
  <si>
    <t>契約者</t>
    <rPh sb="0" eb="3">
      <t>ケイヤクシャ</t>
    </rPh>
    <phoneticPr fontId="3"/>
  </si>
  <si>
    <t>通</t>
    <rPh sb="0" eb="1">
      <t>ツウ</t>
    </rPh>
    <phoneticPr fontId="3"/>
  </si>
  <si>
    <t>くださいますようお願いいたします。</t>
    <rPh sb="9" eb="10">
      <t>ネガ</t>
    </rPh>
    <phoneticPr fontId="3"/>
  </si>
  <si>
    <t>顔写真</t>
    <rPh sb="0" eb="1">
      <t>カオ</t>
    </rPh>
    <rPh sb="1" eb="3">
      <t>シャシン</t>
    </rPh>
    <phoneticPr fontId="3"/>
  </si>
  <si>
    <t>枚</t>
    <rPh sb="0" eb="1">
      <t>マイ</t>
    </rPh>
    <phoneticPr fontId="3"/>
  </si>
  <si>
    <t>源泉徴収票</t>
    <rPh sb="0" eb="2">
      <t>ゲンセン</t>
    </rPh>
    <rPh sb="2" eb="4">
      <t>チョウシュウ</t>
    </rPh>
    <rPh sb="4" eb="5">
      <t>ヒョウ</t>
    </rPh>
    <phoneticPr fontId="3"/>
  </si>
  <si>
    <r>
      <t>■契約書にご記入いただく際の注意点として、</t>
    </r>
    <r>
      <rPr>
        <sz val="6"/>
        <color indexed="10"/>
        <rFont val="ＭＳ Ｐ明朝"/>
        <family val="1"/>
        <charset val="128"/>
      </rPr>
      <t>ご記入いただく契約書の住所は公的証明と合わ</t>
    </r>
    <rPh sb="1" eb="3">
      <t>ケイヤク</t>
    </rPh>
    <rPh sb="3" eb="4">
      <t>ショ</t>
    </rPh>
    <rPh sb="6" eb="8">
      <t>キニュウ</t>
    </rPh>
    <rPh sb="12" eb="13">
      <t>サイ</t>
    </rPh>
    <rPh sb="14" eb="17">
      <t>チュウイテン</t>
    </rPh>
    <rPh sb="22" eb="24">
      <t>キニュウ</t>
    </rPh>
    <rPh sb="28" eb="30">
      <t>ケイヤク</t>
    </rPh>
    <rPh sb="30" eb="31">
      <t>ショ</t>
    </rPh>
    <rPh sb="32" eb="34">
      <t>ジュウショ</t>
    </rPh>
    <rPh sb="35" eb="37">
      <t>コウテキ</t>
    </rPh>
    <rPh sb="37" eb="39">
      <t>ショウメイ</t>
    </rPh>
    <rPh sb="40" eb="41">
      <t>ア</t>
    </rPh>
    <phoneticPr fontId="3"/>
  </si>
  <si>
    <t>印鑑証明書</t>
    <rPh sb="0" eb="2">
      <t>インカン</t>
    </rPh>
    <rPh sb="2" eb="5">
      <t>ショウメイショ</t>
    </rPh>
    <phoneticPr fontId="3"/>
  </si>
  <si>
    <t>連帯保証人</t>
    <rPh sb="0" eb="2">
      <t>レンタイ</t>
    </rPh>
    <rPh sb="2" eb="5">
      <t>ホショウニン</t>
    </rPh>
    <phoneticPr fontId="3"/>
  </si>
  <si>
    <r>
      <t>てご記入下さい。</t>
    </r>
    <r>
      <rPr>
        <sz val="8"/>
        <color indexed="10"/>
        <rFont val="ＭＳ Ｐ明朝"/>
        <family val="1"/>
        <charset val="128"/>
      </rPr>
      <t>住民票記載の住所、印鑑証明書記載の住所</t>
    </r>
    <r>
      <rPr>
        <sz val="6"/>
        <color indexed="10"/>
        <rFont val="ＭＳ Ｐ明朝"/>
        <family val="1"/>
        <charset val="128"/>
      </rPr>
      <t>でのご記入となります。</t>
    </r>
    <rPh sb="2" eb="4">
      <t>キニュウ</t>
    </rPh>
    <rPh sb="4" eb="5">
      <t>クダ</t>
    </rPh>
    <rPh sb="8" eb="11">
      <t>ジュウミンヒョウ</t>
    </rPh>
    <rPh sb="11" eb="13">
      <t>キサイ</t>
    </rPh>
    <rPh sb="14" eb="16">
      <t>ジュウショ</t>
    </rPh>
    <rPh sb="17" eb="19">
      <t>インカン</t>
    </rPh>
    <rPh sb="19" eb="21">
      <t>ショウメイ</t>
    </rPh>
    <rPh sb="21" eb="22">
      <t>ショ</t>
    </rPh>
    <rPh sb="22" eb="24">
      <t>キサイ</t>
    </rPh>
    <rPh sb="25" eb="27">
      <t>ジュウショ</t>
    </rPh>
    <rPh sb="30" eb="32">
      <t>キニュウ</t>
    </rPh>
    <phoneticPr fontId="3"/>
  </si>
  <si>
    <t>■契約書は、必ずご本人がご記入下さい。契約者が全て記入してしまうケースがございますが</t>
    <rPh sb="1" eb="3">
      <t>ケイヤク</t>
    </rPh>
    <rPh sb="3" eb="4">
      <t>ショ</t>
    </rPh>
    <rPh sb="6" eb="7">
      <t>カナラ</t>
    </rPh>
    <rPh sb="9" eb="11">
      <t>ホンニン</t>
    </rPh>
    <rPh sb="13" eb="15">
      <t>キニュウ</t>
    </rPh>
    <rPh sb="15" eb="16">
      <t>クダ</t>
    </rPh>
    <rPh sb="19" eb="22">
      <t>ケイヤクシャ</t>
    </rPh>
    <rPh sb="23" eb="24">
      <t>スベ</t>
    </rPh>
    <rPh sb="25" eb="27">
      <t>キニュウ</t>
    </rPh>
    <phoneticPr fontId="3"/>
  </si>
  <si>
    <t>訂正しやり直す必要が出ます。また、誤って記入してしまった。間違ってしまった場合は、次</t>
    <rPh sb="0" eb="2">
      <t>テイセイ</t>
    </rPh>
    <rPh sb="5" eb="6">
      <t>ナオ</t>
    </rPh>
    <rPh sb="7" eb="9">
      <t>ヒツヨウ</t>
    </rPh>
    <rPh sb="10" eb="11">
      <t>デ</t>
    </rPh>
    <rPh sb="17" eb="18">
      <t>アヤマ</t>
    </rPh>
    <rPh sb="20" eb="22">
      <t>キニュウ</t>
    </rPh>
    <rPh sb="29" eb="31">
      <t>マチガ</t>
    </rPh>
    <rPh sb="37" eb="39">
      <t>バアイ</t>
    </rPh>
    <rPh sb="41" eb="42">
      <t>ツギ</t>
    </rPh>
    <phoneticPr fontId="3"/>
  </si>
  <si>
    <t>のように訂正してください。</t>
    <rPh sb="4" eb="6">
      <t>テイセイ</t>
    </rPh>
    <phoneticPr fontId="3"/>
  </si>
  <si>
    <t>誤り　　正しい</t>
    <rPh sb="0" eb="1">
      <t>アヤマ</t>
    </rPh>
    <rPh sb="4" eb="5">
      <t>タダ</t>
    </rPh>
    <phoneticPr fontId="3"/>
  </si>
  <si>
    <r>
      <t>■契約者は基本認印での捺印ですが、</t>
    </r>
    <r>
      <rPr>
        <sz val="8"/>
        <color indexed="10"/>
        <rFont val="ＭＳ Ｐ明朝"/>
        <family val="1"/>
        <charset val="128"/>
      </rPr>
      <t>印鑑証明書を求められる際は実印</t>
    </r>
    <r>
      <rPr>
        <sz val="6"/>
        <rFont val="ＭＳ Ｐ明朝"/>
        <family val="1"/>
        <charset val="128"/>
      </rPr>
      <t>にてご捺印下さい。</t>
    </r>
    <rPh sb="1" eb="4">
      <t>ケイヤクシャ</t>
    </rPh>
    <rPh sb="5" eb="7">
      <t>キホン</t>
    </rPh>
    <rPh sb="7" eb="9">
      <t>ミトメイン</t>
    </rPh>
    <rPh sb="11" eb="13">
      <t>ナツイン</t>
    </rPh>
    <rPh sb="17" eb="19">
      <t>インカン</t>
    </rPh>
    <rPh sb="19" eb="21">
      <t>ショウメイ</t>
    </rPh>
    <rPh sb="21" eb="22">
      <t>ショ</t>
    </rPh>
    <rPh sb="23" eb="24">
      <t>モト</t>
    </rPh>
    <rPh sb="28" eb="29">
      <t>サイ</t>
    </rPh>
    <rPh sb="30" eb="32">
      <t>ジツイン</t>
    </rPh>
    <rPh sb="35" eb="37">
      <t>ナツイン</t>
    </rPh>
    <rPh sb="37" eb="38">
      <t>クダ</t>
    </rPh>
    <phoneticPr fontId="3"/>
  </si>
  <si>
    <t>連帯保証人が必要な契約は、保証人欄は全て実印にてご捺印下さい。</t>
    <rPh sb="0" eb="2">
      <t>レンタイ</t>
    </rPh>
    <rPh sb="2" eb="5">
      <t>ホショウニン</t>
    </rPh>
    <rPh sb="6" eb="8">
      <t>ヒツヨウ</t>
    </rPh>
    <rPh sb="9" eb="11">
      <t>ケイヤク</t>
    </rPh>
    <rPh sb="13" eb="16">
      <t>ホショウニン</t>
    </rPh>
    <rPh sb="16" eb="17">
      <t>ラン</t>
    </rPh>
    <rPh sb="18" eb="19">
      <t>スベ</t>
    </rPh>
    <rPh sb="20" eb="22">
      <t>ジツイン</t>
    </rPh>
    <rPh sb="25" eb="27">
      <t>ナツイン</t>
    </rPh>
    <rPh sb="27" eb="28">
      <t>クダ</t>
    </rPh>
    <phoneticPr fontId="3"/>
  </si>
  <si>
    <t>お申し込み</t>
    <rPh sb="1" eb="2">
      <t>モウ</t>
    </rPh>
    <rPh sb="3" eb="4">
      <t>コ</t>
    </rPh>
    <phoneticPr fontId="3"/>
  </si>
  <si>
    <t>/</t>
    <phoneticPr fontId="3"/>
  </si>
  <si>
    <t>お申込書を記入頂きます。またお申込金として家賃の１か月分をお預かりいたします。</t>
    <rPh sb="1" eb="4">
      <t>モウシコミショ</t>
    </rPh>
    <rPh sb="5" eb="7">
      <t>キニュウ</t>
    </rPh>
    <rPh sb="7" eb="8">
      <t>イタダ</t>
    </rPh>
    <rPh sb="15" eb="17">
      <t>モウシコミ</t>
    </rPh>
    <rPh sb="17" eb="18">
      <t>キン</t>
    </rPh>
    <rPh sb="21" eb="23">
      <t>ヤチン</t>
    </rPh>
    <rPh sb="26" eb="28">
      <t>ゲツブン</t>
    </rPh>
    <rPh sb="30" eb="31">
      <t>アズ</t>
    </rPh>
    <phoneticPr fontId="3"/>
  </si>
  <si>
    <t>入居審査</t>
    <rPh sb="0" eb="2">
      <t>ニュウキョ</t>
    </rPh>
    <rPh sb="2" eb="4">
      <t>シンサ</t>
    </rPh>
    <phoneticPr fontId="3"/>
  </si>
  <si>
    <t>お申し込みいただきました書類より、家主様・管理会社・賃貸保証会社などへ連絡し審査を</t>
    <rPh sb="1" eb="2">
      <t>モウ</t>
    </rPh>
    <rPh sb="3" eb="4">
      <t>コ</t>
    </rPh>
    <rPh sb="12" eb="14">
      <t>ショルイ</t>
    </rPh>
    <rPh sb="17" eb="19">
      <t>ヤヌシ</t>
    </rPh>
    <rPh sb="19" eb="20">
      <t>サマ</t>
    </rPh>
    <rPh sb="21" eb="23">
      <t>カンリ</t>
    </rPh>
    <rPh sb="23" eb="25">
      <t>ガイシャ</t>
    </rPh>
    <rPh sb="26" eb="27">
      <t>チン</t>
    </rPh>
    <rPh sb="27" eb="28">
      <t>タイ</t>
    </rPh>
    <rPh sb="28" eb="30">
      <t>ホショウ</t>
    </rPh>
    <rPh sb="30" eb="32">
      <t>ガイシャ</t>
    </rPh>
    <rPh sb="35" eb="37">
      <t>レンラク</t>
    </rPh>
    <rPh sb="38" eb="40">
      <t>シンサ</t>
    </rPh>
    <phoneticPr fontId="3"/>
  </si>
  <si>
    <t>行います。審査結果が出た段階にてご連絡させていただきます。</t>
    <rPh sb="0" eb="1">
      <t>オコナ</t>
    </rPh>
    <rPh sb="5" eb="7">
      <t>シンサ</t>
    </rPh>
    <rPh sb="7" eb="9">
      <t>ケッカ</t>
    </rPh>
    <rPh sb="10" eb="11">
      <t>デ</t>
    </rPh>
    <rPh sb="12" eb="14">
      <t>ダンカイ</t>
    </rPh>
    <rPh sb="17" eb="19">
      <t>レンラク</t>
    </rPh>
    <phoneticPr fontId="3"/>
  </si>
  <si>
    <t>契約書が届きましたら、店頭にてご記入・ご捺印いただくか郵送サービスも行っております。</t>
    <rPh sb="0" eb="2">
      <t>ケイヤク</t>
    </rPh>
    <rPh sb="2" eb="3">
      <t>ショ</t>
    </rPh>
    <rPh sb="4" eb="5">
      <t>トド</t>
    </rPh>
    <rPh sb="11" eb="13">
      <t>テントウ</t>
    </rPh>
    <rPh sb="16" eb="18">
      <t>キニュウ</t>
    </rPh>
    <rPh sb="20" eb="22">
      <t>ナツイン</t>
    </rPh>
    <rPh sb="27" eb="29">
      <t>ユウソウ</t>
    </rPh>
    <rPh sb="34" eb="35">
      <t>オコナ</t>
    </rPh>
    <phoneticPr fontId="3"/>
  </si>
  <si>
    <t>上記の契約記入の注意点もご確認下さい。</t>
    <rPh sb="0" eb="2">
      <t>ジョウキ</t>
    </rPh>
    <rPh sb="3" eb="5">
      <t>ケイヤク</t>
    </rPh>
    <rPh sb="5" eb="7">
      <t>キニュウ</t>
    </rPh>
    <rPh sb="8" eb="11">
      <t>チュウイテン</t>
    </rPh>
    <rPh sb="13" eb="15">
      <t>カクニン</t>
    </rPh>
    <rPh sb="15" eb="16">
      <t>クダ</t>
    </rPh>
    <phoneticPr fontId="3"/>
  </si>
  <si>
    <t>契約書をご確認の上、お支払いをお願いいたします。契約手続きの都合上先にお支払い</t>
    <rPh sb="0" eb="2">
      <t>ケイヤク</t>
    </rPh>
    <rPh sb="2" eb="3">
      <t>ショ</t>
    </rPh>
    <rPh sb="5" eb="7">
      <t>カクニン</t>
    </rPh>
    <rPh sb="8" eb="9">
      <t>ウエ</t>
    </rPh>
    <rPh sb="11" eb="13">
      <t>シハライ</t>
    </rPh>
    <rPh sb="16" eb="17">
      <t>ネガ</t>
    </rPh>
    <rPh sb="24" eb="26">
      <t>ケイヤク</t>
    </rPh>
    <rPh sb="26" eb="28">
      <t>テツヅ</t>
    </rPh>
    <rPh sb="30" eb="33">
      <t>ツゴウジョウ</t>
    </rPh>
    <rPh sb="33" eb="34">
      <t>サキ</t>
    </rPh>
    <rPh sb="36" eb="38">
      <t>シハライ</t>
    </rPh>
    <phoneticPr fontId="3"/>
  </si>
  <si>
    <t>頂くこともございます。ご了承下さい。</t>
    <rPh sb="0" eb="1">
      <t>イタダ</t>
    </rPh>
    <rPh sb="12" eb="14">
      <t>リョウショウ</t>
    </rPh>
    <rPh sb="14" eb="15">
      <t>クダ</t>
    </rPh>
    <phoneticPr fontId="3"/>
  </si>
  <si>
    <t>上記必要書類と契約書に記入・捺印の上、弊社までお届け下さい。</t>
    <rPh sb="0" eb="2">
      <t>ジョウキ</t>
    </rPh>
    <rPh sb="2" eb="4">
      <t>ヒツヨウ</t>
    </rPh>
    <rPh sb="4" eb="6">
      <t>ショルイ</t>
    </rPh>
    <rPh sb="7" eb="9">
      <t>ケイヤク</t>
    </rPh>
    <rPh sb="9" eb="10">
      <t>ショ</t>
    </rPh>
    <rPh sb="11" eb="13">
      <t>キニュウ</t>
    </rPh>
    <rPh sb="14" eb="16">
      <t>ナツイン</t>
    </rPh>
    <rPh sb="17" eb="18">
      <t>ウエ</t>
    </rPh>
    <rPh sb="19" eb="21">
      <t>ヘイシャ</t>
    </rPh>
    <rPh sb="24" eb="25">
      <t>トド</t>
    </rPh>
    <rPh sb="26" eb="27">
      <t>クダ</t>
    </rPh>
    <phoneticPr fontId="3"/>
  </si>
  <si>
    <t>⑥</t>
    <phoneticPr fontId="3"/>
  </si>
  <si>
    <t>お引越しするのに必要な手続きはたくさんございますが、ライフラインは重要ですので</t>
    <rPh sb="1" eb="3">
      <t>ヒッコ</t>
    </rPh>
    <rPh sb="8" eb="10">
      <t>ヒツヨウ</t>
    </rPh>
    <rPh sb="11" eb="13">
      <t>テツヅ</t>
    </rPh>
    <rPh sb="33" eb="35">
      <t>ジュウヨウ</t>
    </rPh>
    <phoneticPr fontId="3"/>
  </si>
  <si>
    <t>お早めにご連絡とお手続きをお願いいたします。</t>
    <rPh sb="1" eb="2">
      <t>ハヤ</t>
    </rPh>
    <rPh sb="5" eb="7">
      <t>レンラク</t>
    </rPh>
    <rPh sb="9" eb="11">
      <t>テツヅ</t>
    </rPh>
    <rPh sb="14" eb="15">
      <t>ネガ</t>
    </rPh>
    <phoneticPr fontId="3"/>
  </si>
  <si>
    <t>⑦</t>
    <phoneticPr fontId="3"/>
  </si>
  <si>
    <t>鍵のお渡し</t>
    <rPh sb="0" eb="1">
      <t>カギ</t>
    </rPh>
    <rPh sb="3" eb="4">
      <t>ワタ</t>
    </rPh>
    <phoneticPr fontId="3"/>
  </si>
  <si>
    <t>鍵が手配できましたら、ご連絡させていただきます。</t>
    <rPh sb="0" eb="1">
      <t>カギ</t>
    </rPh>
    <rPh sb="2" eb="4">
      <t>テハイ</t>
    </rPh>
    <rPh sb="12" eb="14">
      <t>レンラク</t>
    </rPh>
    <phoneticPr fontId="3"/>
  </si>
  <si>
    <r>
      <t>お支払・</t>
    </r>
    <r>
      <rPr>
        <sz val="6"/>
        <color indexed="10"/>
        <rFont val="ＭＳ Ｐ明朝"/>
        <family val="1"/>
        <charset val="128"/>
      </rPr>
      <t>契約書の不備・必要書類の不備があった場合には鍵がお渡しできないこともご</t>
    </r>
    <rPh sb="1" eb="3">
      <t>シハライ</t>
    </rPh>
    <rPh sb="4" eb="6">
      <t>ケイヤク</t>
    </rPh>
    <rPh sb="6" eb="7">
      <t>ショ</t>
    </rPh>
    <rPh sb="8" eb="10">
      <t>フビ</t>
    </rPh>
    <rPh sb="11" eb="13">
      <t>ヒツヨウ</t>
    </rPh>
    <rPh sb="13" eb="15">
      <t>ショルイ</t>
    </rPh>
    <rPh sb="16" eb="18">
      <t>フビ</t>
    </rPh>
    <rPh sb="22" eb="24">
      <t>バアイ</t>
    </rPh>
    <rPh sb="26" eb="27">
      <t>カギ</t>
    </rPh>
    <rPh sb="29" eb="30">
      <t>ワタ</t>
    </rPh>
    <phoneticPr fontId="3"/>
  </si>
  <si>
    <t>ざいますので、手続きはお早めにお願いいたします。</t>
    <rPh sb="7" eb="9">
      <t>テツヅ</t>
    </rPh>
    <rPh sb="12" eb="13">
      <t>ハヤ</t>
    </rPh>
    <rPh sb="16" eb="17">
      <t>ネガ</t>
    </rPh>
    <phoneticPr fontId="3"/>
  </si>
  <si>
    <t>①</t>
    <phoneticPr fontId="3"/>
  </si>
  <si>
    <t>/</t>
    <phoneticPr fontId="3"/>
  </si>
  <si>
    <t>②</t>
    <phoneticPr fontId="3"/>
  </si>
  <si>
    <t>③</t>
    <phoneticPr fontId="3"/>
  </si>
  <si>
    <t>④</t>
    <phoneticPr fontId="3"/>
  </si>
  <si>
    <t>⑤</t>
    <phoneticPr fontId="3"/>
  </si>
  <si>
    <t>※審査承認まで2日～一週間ほどかかります。承認が出ましたらご連絡お願い致します。</t>
    <rPh sb="1" eb="3">
      <t>シンサ</t>
    </rPh>
    <rPh sb="3" eb="5">
      <t>ショウニン</t>
    </rPh>
    <rPh sb="8" eb="9">
      <t>ニチ</t>
    </rPh>
    <rPh sb="10" eb="13">
      <t>イッシュウカン</t>
    </rPh>
    <rPh sb="21" eb="23">
      <t>ショウニン</t>
    </rPh>
    <rPh sb="24" eb="25">
      <t>デ</t>
    </rPh>
    <rPh sb="30" eb="32">
      <t>レンラク</t>
    </rPh>
    <rPh sb="33" eb="34">
      <t>ネガイ</t>
    </rPh>
    <rPh sb="35" eb="36">
      <t>タ</t>
    </rPh>
    <phoneticPr fontId="3"/>
  </si>
  <si>
    <t>※契約書郵送時もご連絡致します。</t>
    <rPh sb="1" eb="4">
      <t>ケイヤクショ</t>
    </rPh>
    <rPh sb="4" eb="6">
      <t>ユウソウ</t>
    </rPh>
    <rPh sb="6" eb="7">
      <t>ジ</t>
    </rPh>
    <rPh sb="9" eb="11">
      <t>レンラク</t>
    </rPh>
    <rPh sb="11" eb="12">
      <t>イタ</t>
    </rPh>
    <phoneticPr fontId="3"/>
  </si>
  <si>
    <t>※振り込みされましたら、一報ご連絡頂ければ幸いです。</t>
    <rPh sb="1" eb="2">
      <t>フ</t>
    </rPh>
    <rPh sb="3" eb="4">
      <t>コ</t>
    </rPh>
    <rPh sb="12" eb="14">
      <t>イッポウ</t>
    </rPh>
    <rPh sb="15" eb="17">
      <t>レンラク</t>
    </rPh>
    <rPh sb="17" eb="18">
      <t>イタダ</t>
    </rPh>
    <rPh sb="21" eb="22">
      <t>サイワ</t>
    </rPh>
    <phoneticPr fontId="3"/>
  </si>
  <si>
    <t>※ライフラインの開栓は審査終了後で有れば手続き可能です。</t>
    <rPh sb="8" eb="9">
      <t>ヒラ</t>
    </rPh>
    <rPh sb="9" eb="10">
      <t>セン</t>
    </rPh>
    <rPh sb="11" eb="13">
      <t>シンサ</t>
    </rPh>
    <rPh sb="13" eb="15">
      <t>シュウリョウ</t>
    </rPh>
    <rPh sb="15" eb="16">
      <t>ゴ</t>
    </rPh>
    <rPh sb="17" eb="18">
      <t>ア</t>
    </rPh>
    <rPh sb="20" eb="22">
      <t>テツヅ</t>
    </rPh>
    <rPh sb="23" eb="25">
      <t>カノウ</t>
    </rPh>
    <phoneticPr fontId="3"/>
  </si>
  <si>
    <t>各提携業者様　各位　御担当者様</t>
    <rPh sb="0" eb="1">
      <t>カク</t>
    </rPh>
    <rPh sb="1" eb="3">
      <t>テイケイ</t>
    </rPh>
    <rPh sb="3" eb="5">
      <t>ギョウシャ</t>
    </rPh>
    <rPh sb="5" eb="6">
      <t>サマ</t>
    </rPh>
    <rPh sb="7" eb="9">
      <t>カクイ</t>
    </rPh>
    <rPh sb="10" eb="15">
      <t>ゴタントウシャサマ</t>
    </rPh>
    <phoneticPr fontId="3"/>
  </si>
  <si>
    <t>優良提携業者　依頼　申込書</t>
    <rPh sb="0" eb="2">
      <t>ユウリョウ</t>
    </rPh>
    <rPh sb="2" eb="4">
      <t>テイケイ</t>
    </rPh>
    <rPh sb="4" eb="6">
      <t>ギョウシャ</t>
    </rPh>
    <rPh sb="7" eb="9">
      <t>イライ</t>
    </rPh>
    <rPh sb="10" eb="13">
      <t>モウシコミショ</t>
    </rPh>
    <phoneticPr fontId="3"/>
  </si>
  <si>
    <t>入居希望日</t>
    <rPh sb="0" eb="2">
      <t>ニュウキョ</t>
    </rPh>
    <rPh sb="2" eb="5">
      <t>キボウビ</t>
    </rPh>
    <phoneticPr fontId="3"/>
  </si>
  <si>
    <t>入居予定日　　　　　月　　　　　日</t>
    <phoneticPr fontId="3"/>
  </si>
  <si>
    <t>物</t>
    <rPh sb="0" eb="1">
      <t>ブツ</t>
    </rPh>
    <phoneticPr fontId="3"/>
  </si>
  <si>
    <t>名称</t>
    <rPh sb="0" eb="2">
      <t>メイショウ</t>
    </rPh>
    <phoneticPr fontId="3"/>
  </si>
  <si>
    <t>　　　　　　　号室</t>
    <rPh sb="7" eb="8">
      <t>ゴウ</t>
    </rPh>
    <rPh sb="8" eb="9">
      <t>シツ</t>
    </rPh>
    <phoneticPr fontId="3"/>
  </si>
  <si>
    <t>件</t>
    <rPh sb="0" eb="1">
      <t>ケン</t>
    </rPh>
    <phoneticPr fontId="3"/>
  </si>
  <si>
    <t>新住所</t>
    <rPh sb="0" eb="3">
      <t>シンジュウショ</t>
    </rPh>
    <phoneticPr fontId="3"/>
  </si>
  <si>
    <t>フリガナ</t>
    <phoneticPr fontId="3"/>
  </si>
  <si>
    <t xml:space="preserve"> お</t>
    <phoneticPr fontId="3"/>
  </si>
  <si>
    <t>氏名</t>
    <rPh sb="0" eb="2">
      <t>シメイ</t>
    </rPh>
    <phoneticPr fontId="3"/>
  </si>
  <si>
    <t>客</t>
    <rPh sb="0" eb="1">
      <t>キャク</t>
    </rPh>
    <phoneticPr fontId="3"/>
  </si>
  <si>
    <t>現住所</t>
    <rPh sb="0" eb="3">
      <t>ゲンジュウショ</t>
    </rPh>
    <phoneticPr fontId="3"/>
  </si>
  <si>
    <t>情</t>
    <rPh sb="0" eb="1">
      <t>ジョウ</t>
    </rPh>
    <phoneticPr fontId="3"/>
  </si>
  <si>
    <t>報</t>
    <rPh sb="0" eb="1">
      <t>ホウ</t>
    </rPh>
    <phoneticPr fontId="3"/>
  </si>
  <si>
    <t>ＴＥＬ</t>
    <phoneticPr fontId="3"/>
  </si>
  <si>
    <t>生年月日</t>
    <rPh sb="0" eb="2">
      <t>セイネン</t>
    </rPh>
    <rPh sb="2" eb="4">
      <t>ガッピ</t>
    </rPh>
    <phoneticPr fontId="3"/>
  </si>
  <si>
    <t>年</t>
    <rPh sb="0" eb="1">
      <t>ネン</t>
    </rPh>
    <phoneticPr fontId="3"/>
  </si>
  <si>
    <t>月</t>
    <rPh sb="0" eb="1">
      <t>ガツ</t>
    </rPh>
    <phoneticPr fontId="3"/>
  </si>
  <si>
    <t>日</t>
    <rPh sb="0" eb="1">
      <t>ニチ</t>
    </rPh>
    <phoneticPr fontId="3"/>
  </si>
  <si>
    <t>携帯</t>
    <rPh sb="0" eb="2">
      <t>ケイタイ</t>
    </rPh>
    <phoneticPr fontId="3"/>
  </si>
  <si>
    <t>性別</t>
    <rPh sb="0" eb="2">
      <t>セイベツ</t>
    </rPh>
    <phoneticPr fontId="3"/>
  </si>
  <si>
    <t>男　・　女</t>
    <rPh sb="0" eb="1">
      <t>オトコ</t>
    </rPh>
    <rPh sb="4" eb="5">
      <t>オンナ</t>
    </rPh>
    <phoneticPr fontId="3"/>
  </si>
  <si>
    <t>【 ご連絡のつきやすい曜日・日時・時間帯 】   　　該当項目にチェックをいれてください。</t>
    <rPh sb="3" eb="5">
      <t>レンラク</t>
    </rPh>
    <rPh sb="11" eb="13">
      <t>ヨウビ</t>
    </rPh>
    <rPh sb="14" eb="16">
      <t>ニチジ</t>
    </rPh>
    <rPh sb="17" eb="20">
      <t>ジカンタイ</t>
    </rPh>
    <rPh sb="27" eb="29">
      <t>ガイトウ</t>
    </rPh>
    <rPh sb="29" eb="31">
      <t>コウモク</t>
    </rPh>
    <phoneticPr fontId="3"/>
  </si>
  <si>
    <t>□</t>
    <phoneticPr fontId="3"/>
  </si>
  <si>
    <t>月　・　火　・　水　・　木　・　金　・　土　・　日</t>
    <rPh sb="0" eb="1">
      <t>ゲツ</t>
    </rPh>
    <rPh sb="4" eb="5">
      <t>ヒ</t>
    </rPh>
    <rPh sb="8" eb="9">
      <t>スイ</t>
    </rPh>
    <rPh sb="12" eb="13">
      <t>モク</t>
    </rPh>
    <rPh sb="16" eb="17">
      <t>キン</t>
    </rPh>
    <rPh sb="20" eb="21">
      <t>ツチ</t>
    </rPh>
    <rPh sb="24" eb="25">
      <t>ニチ</t>
    </rPh>
    <phoneticPr fontId="3"/>
  </si>
  <si>
    <t>□</t>
    <phoneticPr fontId="3"/>
  </si>
  <si>
    <t>月　　　　　　日　　　　　　時　　　　～　　　　時</t>
    <rPh sb="0" eb="1">
      <t>ガツ</t>
    </rPh>
    <rPh sb="7" eb="8">
      <t>ニチ</t>
    </rPh>
    <rPh sb="14" eb="15">
      <t>ジ</t>
    </rPh>
    <rPh sb="24" eb="25">
      <t>ジ</t>
    </rPh>
    <phoneticPr fontId="3"/>
  </si>
  <si>
    <t>【 お引越し 】　　　当社提携引越業者様割引！　　当店にパンフレットあります！！</t>
    <rPh sb="3" eb="5">
      <t>ヒッコ</t>
    </rPh>
    <rPh sb="11" eb="13">
      <t>トウシャ</t>
    </rPh>
    <rPh sb="13" eb="15">
      <t>テイケイ</t>
    </rPh>
    <rPh sb="15" eb="17">
      <t>ヒッコシ</t>
    </rPh>
    <rPh sb="17" eb="19">
      <t>ギョウシャ</t>
    </rPh>
    <rPh sb="19" eb="20">
      <t>サマ</t>
    </rPh>
    <rPh sb="20" eb="21">
      <t>ワリ</t>
    </rPh>
    <rPh sb="21" eb="22">
      <t>イン</t>
    </rPh>
    <rPh sb="25" eb="27">
      <t>トウテン</t>
    </rPh>
    <phoneticPr fontId="3"/>
  </si>
  <si>
    <t>□　アイズ引越プランニング</t>
    <phoneticPr fontId="3"/>
  </si>
  <si>
    <t>□　アート引越センター</t>
    <rPh sb="5" eb="7">
      <t>ヒッコシ</t>
    </rPh>
    <phoneticPr fontId="3"/>
  </si>
  <si>
    <t>ＴＥＬ 　 0120 - 09 -　1103</t>
    <phoneticPr fontId="3"/>
  </si>
  <si>
    <t>TEL   0120 - 81 - 0123</t>
    <phoneticPr fontId="3"/>
  </si>
  <si>
    <t>ＦＡＸ     075 - 382 - 0447</t>
    <phoneticPr fontId="3"/>
  </si>
  <si>
    <t>FAX   0120 - 00 - 5670</t>
    <phoneticPr fontId="3"/>
  </si>
  <si>
    <t>【 特記事項 】</t>
    <rPh sb="2" eb="4">
      <t>トッキ</t>
    </rPh>
    <rPh sb="4" eb="6">
      <t>ジコウ</t>
    </rPh>
    <phoneticPr fontId="3"/>
  </si>
  <si>
    <t>【 インターネット 】   　 当社の通信事業部からご連絡させていただきます！</t>
    <rPh sb="16" eb="18">
      <t>トウシャ</t>
    </rPh>
    <rPh sb="19" eb="21">
      <t>ツウシン</t>
    </rPh>
    <rPh sb="21" eb="23">
      <t>ジギョウ</t>
    </rPh>
    <rPh sb="23" eb="24">
      <t>ブ</t>
    </rPh>
    <rPh sb="27" eb="29">
      <t>レンラク</t>
    </rPh>
    <phoneticPr fontId="3"/>
  </si>
  <si>
    <t>提携業者様にご依頼いただき、お預かりする情報については厳重に管理し、目的以外の用途には使用しません。</t>
    <phoneticPr fontId="3"/>
  </si>
  <si>
    <t>【 取次店 】</t>
    <phoneticPr fontId="3"/>
  </si>
  <si>
    <t>〒542-0081　大阪市中央区西心斎橋 2-9-38 ウィナックス 1Ｆ</t>
    <rPh sb="10" eb="13">
      <t>オオサカシ</t>
    </rPh>
    <rPh sb="13" eb="16">
      <t>チュウオウク</t>
    </rPh>
    <rPh sb="16" eb="17">
      <t>ニシ</t>
    </rPh>
    <rPh sb="17" eb="20">
      <t>シンサイバシ</t>
    </rPh>
    <phoneticPr fontId="3"/>
  </si>
  <si>
    <t>ＴＥＬ　06-6484-0300</t>
    <phoneticPr fontId="3"/>
  </si>
  <si>
    <t>ＦＡＸ　06-6484-0400</t>
    <phoneticPr fontId="3"/>
  </si>
  <si>
    <t xml:space="preserve">              回線設備担当　　岡澤　070-5372-3896</t>
    <rPh sb="14" eb="16">
      <t>カイセン</t>
    </rPh>
    <rPh sb="16" eb="18">
      <t>セツビ</t>
    </rPh>
    <rPh sb="18" eb="20">
      <t>タントウ</t>
    </rPh>
    <phoneticPr fontId="3"/>
  </si>
  <si>
    <t>請  求  書</t>
    <rPh sb="0" eb="1">
      <t>ショウ</t>
    </rPh>
    <rPh sb="3" eb="4">
      <t>モトム</t>
    </rPh>
    <rPh sb="6" eb="7">
      <t>ショ</t>
    </rPh>
    <phoneticPr fontId="3"/>
  </si>
  <si>
    <t>請求日</t>
    <rPh sb="0" eb="2">
      <t>セイキュウ</t>
    </rPh>
    <rPh sb="2" eb="3">
      <t>ビ</t>
    </rPh>
    <phoneticPr fontId="3"/>
  </si>
  <si>
    <t>〒542-0086</t>
    <phoneticPr fontId="3"/>
  </si>
  <si>
    <t>大阪市中央区西心斎橋2-9-38</t>
    <rPh sb="0" eb="3">
      <t>オオサカシ</t>
    </rPh>
    <rPh sb="3" eb="6">
      <t>チュウオウク</t>
    </rPh>
    <rPh sb="6" eb="10">
      <t>ニシシンサイバシ</t>
    </rPh>
    <phoneticPr fontId="3"/>
  </si>
  <si>
    <t>TEL：06-6484-0300</t>
    <phoneticPr fontId="3"/>
  </si>
  <si>
    <t>下記のとおりご請求申し上げます。</t>
    <rPh sb="0" eb="2">
      <t>カキ</t>
    </rPh>
    <rPh sb="7" eb="9">
      <t>セイキュウ</t>
    </rPh>
    <rPh sb="9" eb="10">
      <t>モウ</t>
    </rPh>
    <rPh sb="11" eb="12">
      <t>ア</t>
    </rPh>
    <phoneticPr fontId="3"/>
  </si>
  <si>
    <t>FAX：06-6484-0400</t>
  </si>
  <si>
    <t>日付</t>
    <rPh sb="0" eb="2">
      <t>ヒヅケ</t>
    </rPh>
    <phoneticPr fontId="3"/>
  </si>
  <si>
    <t>請求項目</t>
    <rPh sb="0" eb="2">
      <t>セイキュウ</t>
    </rPh>
    <rPh sb="2" eb="4">
      <t>コウモク</t>
    </rPh>
    <phoneticPr fontId="3"/>
  </si>
  <si>
    <t>金額</t>
    <rPh sb="0" eb="2">
      <t>キンガク</t>
    </rPh>
    <phoneticPr fontId="3"/>
  </si>
  <si>
    <t>請求合計額</t>
    <rPh sb="0" eb="2">
      <t>セイキュウ</t>
    </rPh>
    <rPh sb="2" eb="4">
      <t>ゴウケイ</t>
    </rPh>
    <rPh sb="4" eb="5">
      <t>ガク</t>
    </rPh>
    <phoneticPr fontId="3"/>
  </si>
  <si>
    <t>&lt;&lt; お振込先 &gt;&gt;</t>
  </si>
  <si>
    <t>受領書</t>
    <rPh sb="0" eb="3">
      <t>ジュリョウショ</t>
    </rPh>
    <phoneticPr fontId="3"/>
  </si>
  <si>
    <t>物件名</t>
    <rPh sb="0" eb="2">
      <t>ブッケン</t>
    </rPh>
    <rPh sb="2" eb="3">
      <t>メイ</t>
    </rPh>
    <phoneticPr fontId="3"/>
  </si>
  <si>
    <t>号室</t>
    <phoneticPr fontId="3"/>
  </si>
  <si>
    <t>賃貸借契約書お控え</t>
    <rPh sb="0" eb="3">
      <t>チンタイシャク</t>
    </rPh>
    <rPh sb="3" eb="6">
      <t>ケイヤクショ</t>
    </rPh>
    <rPh sb="7" eb="8">
      <t>ヒカエ</t>
    </rPh>
    <phoneticPr fontId="3"/>
  </si>
  <si>
    <t>部</t>
    <rPh sb="0" eb="1">
      <t>ブ</t>
    </rPh>
    <phoneticPr fontId="3"/>
  </si>
  <si>
    <t>賃貸保証契約書お控え</t>
    <rPh sb="0" eb="2">
      <t>チンタイ</t>
    </rPh>
    <rPh sb="2" eb="4">
      <t>ホショウ</t>
    </rPh>
    <rPh sb="4" eb="7">
      <t>ケイヤクショ</t>
    </rPh>
    <rPh sb="8" eb="9">
      <t>ヒカエ</t>
    </rPh>
    <phoneticPr fontId="3"/>
  </si>
  <si>
    <t>火災保険書類お控え</t>
    <rPh sb="0" eb="2">
      <t>カサイ</t>
    </rPh>
    <rPh sb="2" eb="4">
      <t>ホケン</t>
    </rPh>
    <rPh sb="4" eb="6">
      <t>ショルイ</t>
    </rPh>
    <rPh sb="7" eb="8">
      <t>ヒカエ</t>
    </rPh>
    <phoneticPr fontId="3"/>
  </si>
  <si>
    <t>鍵</t>
    <rPh sb="0" eb="1">
      <t>カギ</t>
    </rPh>
    <phoneticPr fontId="3"/>
  </si>
  <si>
    <t>メーカー</t>
    <phoneticPr fontId="3"/>
  </si>
  <si>
    <t>ＮＯ．</t>
    <phoneticPr fontId="3"/>
  </si>
  <si>
    <t>本数</t>
    <rPh sb="0" eb="2">
      <t>ホンスウ</t>
    </rPh>
    <phoneticPr fontId="3"/>
  </si>
  <si>
    <t>　</t>
    <phoneticPr fontId="3"/>
  </si>
  <si>
    <t>　　　　　　本</t>
    <rPh sb="6" eb="7">
      <t>ホン</t>
    </rPh>
    <phoneticPr fontId="3"/>
  </si>
  <si>
    <t>上記、正に預かりました。</t>
    <rPh sb="0" eb="2">
      <t>ジョウキ</t>
    </rPh>
    <rPh sb="3" eb="4">
      <t>マサ</t>
    </rPh>
    <rPh sb="5" eb="6">
      <t>アズ</t>
    </rPh>
    <phoneticPr fontId="3"/>
  </si>
  <si>
    <t>氏名</t>
    <phoneticPr fontId="3"/>
  </si>
  <si>
    <t>㊞</t>
    <phoneticPr fontId="3"/>
  </si>
  <si>
    <r>
      <t xml:space="preserve">0120-094-817
</t>
    </r>
    <r>
      <rPr>
        <sz val="9"/>
        <color indexed="10"/>
        <rFont val="ＭＳ Ｐ明朝"/>
        <family val="1"/>
        <charset val="128"/>
      </rPr>
      <t>※事前予約必須</t>
    </r>
    <rPh sb="14" eb="16">
      <t>ジゼン</t>
    </rPh>
    <rPh sb="16" eb="18">
      <t>ヨヤク</t>
    </rPh>
    <rPh sb="18" eb="20">
      <t>ヒッス</t>
    </rPh>
    <phoneticPr fontId="3"/>
  </si>
  <si>
    <t>重要事項説明</t>
    <rPh sb="0" eb="2">
      <t>ジュウヨウ</t>
    </rPh>
    <rPh sb="2" eb="4">
      <t>ジコウ</t>
    </rPh>
    <rPh sb="4" eb="6">
      <t>セツメイ</t>
    </rPh>
    <phoneticPr fontId="3"/>
  </si>
  <si>
    <t>契約書記入</t>
    <rPh sb="0" eb="3">
      <t>ケイヤクショ</t>
    </rPh>
    <rPh sb="3" eb="5">
      <t>キニュウ</t>
    </rPh>
    <phoneticPr fontId="3"/>
  </si>
  <si>
    <t>決済金支払</t>
    <rPh sb="0" eb="3">
      <t>ケッサイキン</t>
    </rPh>
    <rPh sb="3" eb="5">
      <t>シハラ</t>
    </rPh>
    <phoneticPr fontId="3"/>
  </si>
  <si>
    <t>契約書期日</t>
    <rPh sb="0" eb="3">
      <t>ケイヤクショ</t>
    </rPh>
    <rPh sb="3" eb="5">
      <t>キジツ</t>
    </rPh>
    <phoneticPr fontId="3"/>
  </si>
  <si>
    <t>何日から</t>
    <rPh sb="0" eb="2">
      <t>ナンニチ</t>
    </rPh>
    <phoneticPr fontId="3"/>
  </si>
  <si>
    <t>おおきにＬＡＮＤ ＭＡＲＫ心斎橋ビル1階</t>
    <rPh sb="13" eb="16">
      <t>シンサイバシ</t>
    </rPh>
    <rPh sb="19" eb="20">
      <t>カイ</t>
    </rPh>
    <phoneticPr fontId="3"/>
  </si>
  <si>
    <t xml:space="preserve">　            </t>
    <phoneticPr fontId="3"/>
  </si>
  <si>
    <t>大阪市中央区西心斎橋2丁目9番38号</t>
    <phoneticPr fontId="3"/>
  </si>
  <si>
    <t>おおきに心斎橋LAND MARKビル1階</t>
    <phoneticPr fontId="3"/>
  </si>
  <si>
    <t>〒542-0086</t>
    <phoneticPr fontId="3"/>
  </si>
  <si>
    <t>クリーニング代</t>
    <rPh sb="6" eb="7">
      <t>ダイ</t>
    </rPh>
    <phoneticPr fontId="3"/>
  </si>
  <si>
    <t>の払い込み、ならびに必要書類を下記の通り御準備頂きますようお願い申し上げます。</t>
    <rPh sb="1" eb="4">
      <t>ハライコ</t>
    </rPh>
    <rPh sb="10" eb="12">
      <t>ヒツヨウ</t>
    </rPh>
    <rPh sb="12" eb="14">
      <t>ショルイ</t>
    </rPh>
    <rPh sb="15" eb="17">
      <t>カキ</t>
    </rPh>
    <rPh sb="18" eb="19">
      <t>トオ</t>
    </rPh>
    <rPh sb="20" eb="21">
      <t>ゴ</t>
    </rPh>
    <rPh sb="21" eb="23">
      <t>ジュンビ</t>
    </rPh>
    <rPh sb="23" eb="24">
      <t>イタダキ</t>
    </rPh>
    <rPh sb="29" eb="31">
      <t>オネガ</t>
    </rPh>
    <rPh sb="32" eb="33">
      <t>モウ</t>
    </rPh>
    <rPh sb="34" eb="35">
      <t>ア</t>
    </rPh>
    <phoneticPr fontId="3"/>
  </si>
  <si>
    <r>
      <rPr>
        <sz val="11"/>
        <color indexed="10"/>
        <rFont val="ＭＳ Ｐゴシック"/>
        <family val="3"/>
        <charset val="128"/>
      </rPr>
      <t>尚、振り込み期日は厳守願います｡</t>
    </r>
    <r>
      <rPr>
        <sz val="11"/>
        <rFont val="ＭＳ Ｐゴシック"/>
        <family val="3"/>
        <charset val="128"/>
      </rPr>
      <t>又、御不明な点が御座いましたら担当者まで御問い合わせ下さい。</t>
    </r>
    <rPh sb="9" eb="11">
      <t>ゲンシュ</t>
    </rPh>
    <rPh sb="11" eb="12">
      <t>ネガ</t>
    </rPh>
    <rPh sb="16" eb="17">
      <t>マタ</t>
    </rPh>
    <rPh sb="18" eb="19">
      <t>ゴ</t>
    </rPh>
    <rPh sb="19" eb="21">
      <t>フメイ</t>
    </rPh>
    <rPh sb="22" eb="23">
      <t>テン</t>
    </rPh>
    <rPh sb="24" eb="26">
      <t>ゴザ</t>
    </rPh>
    <rPh sb="31" eb="34">
      <t>タントウシャ</t>
    </rPh>
    <rPh sb="36" eb="37">
      <t>オ</t>
    </rPh>
    <rPh sb="37" eb="38">
      <t>ト</t>
    </rPh>
    <rPh sb="39" eb="40">
      <t>ア</t>
    </rPh>
    <rPh sb="42" eb="43">
      <t>クダ</t>
    </rPh>
    <phoneticPr fontId="3"/>
  </si>
  <si>
    <t>の広告料として</t>
    <rPh sb="1" eb="4">
      <t>コウコクリョウ</t>
    </rPh>
    <phoneticPr fontId="3"/>
  </si>
  <si>
    <t>株式会社</t>
    <rPh sb="0" eb="4">
      <t>カブシキガイシャ</t>
    </rPh>
    <phoneticPr fontId="3"/>
  </si>
  <si>
    <t>御中</t>
    <rPh sb="0" eb="2">
      <t>オンチュウ</t>
    </rPh>
    <phoneticPr fontId="3"/>
  </si>
  <si>
    <t>担当：貴志　任</t>
    <rPh sb="0" eb="2">
      <t>タントウ</t>
    </rPh>
    <rPh sb="3" eb="5">
      <t>キシ</t>
    </rPh>
    <rPh sb="6" eb="7">
      <t>ニン</t>
    </rPh>
    <phoneticPr fontId="3"/>
  </si>
  <si>
    <t>株式会社ユニティエール</t>
    <rPh sb="0" eb="4">
      <t>カブシキガイシャ</t>
    </rPh>
    <phoneticPr fontId="3"/>
  </si>
  <si>
    <t>関西みらい銀行･心斎橋営業部
普通口座　0012789
株式会社ユニティエール
カ)ユニティエール</t>
    <rPh sb="0" eb="2">
      <t>カンサイ</t>
    </rPh>
    <rPh sb="5" eb="7">
      <t>ギンコウ</t>
    </rPh>
    <rPh sb="8" eb="14">
      <t>シンサイバシエイギョウブ</t>
    </rPh>
    <rPh sb="15" eb="17">
      <t>フツウ</t>
    </rPh>
    <rPh sb="17" eb="19">
      <t>コウザ</t>
    </rPh>
    <rPh sb="28" eb="32">
      <t>カブシキガイシャ</t>
    </rPh>
    <phoneticPr fontId="3"/>
  </si>
  <si>
    <t>貴志</t>
    <rPh sb="0" eb="2">
      <t>キシ</t>
    </rPh>
    <phoneticPr fontId="3"/>
  </si>
  <si>
    <t>令和　　　年　　　　月　　　　日</t>
    <rPh sb="0" eb="2">
      <t>レイワ</t>
    </rPh>
    <rPh sb="5" eb="6">
      <t>ネン</t>
    </rPh>
    <rPh sb="10" eb="11">
      <t>ガツ</t>
    </rPh>
    <rPh sb="15" eb="16">
      <t>ニチ</t>
    </rPh>
    <phoneticPr fontId="3"/>
  </si>
  <si>
    <t>KOARA不動産では関西最大の直営ネットワークと常時</t>
    <rPh sb="5" eb="8">
      <t>フドウサン</t>
    </rPh>
    <rPh sb="10" eb="12">
      <t>カンサイ</t>
    </rPh>
    <rPh sb="12" eb="14">
      <t>サイダイ</t>
    </rPh>
    <rPh sb="15" eb="17">
      <t>チョクエイ</t>
    </rPh>
    <rPh sb="24" eb="26">
      <t>ジョウジ</t>
    </rPh>
    <phoneticPr fontId="3"/>
  </si>
  <si>
    <t>翌月その他</t>
    <rPh sb="0" eb="2">
      <t>ヨクゲツ</t>
    </rPh>
    <rPh sb="4" eb="5">
      <t>タ</t>
    </rPh>
    <phoneticPr fontId="3"/>
  </si>
  <si>
    <t>御紹介割引</t>
    <rPh sb="0" eb="5">
      <t>ゴショウカイワリヒ</t>
    </rPh>
    <phoneticPr fontId="3"/>
  </si>
  <si>
    <t>18,000円/2年毎</t>
    <rPh sb="6" eb="7">
      <t>エン</t>
    </rPh>
    <rPh sb="9" eb="10">
      <t>ネン</t>
    </rPh>
    <rPh sb="10" eb="11">
      <t>マイ</t>
    </rPh>
    <phoneticPr fontId="3"/>
  </si>
  <si>
    <t xml:space="preserve">  町 会 費</t>
    <rPh sb="2" eb="3">
      <t>マチ</t>
    </rPh>
    <rPh sb="4" eb="5">
      <t>カイ</t>
    </rPh>
    <rPh sb="6" eb="7">
      <t>ヒ</t>
    </rPh>
    <phoneticPr fontId="3"/>
  </si>
  <si>
    <t>竹内 悠馬</t>
    <rPh sb="0" eb="2">
      <t>タケウチ</t>
    </rPh>
    <rPh sb="3" eb="5">
      <t>ユウマ</t>
    </rPh>
    <phoneticPr fontId="3"/>
  </si>
  <si>
    <t>月額保証料</t>
    <rPh sb="0" eb="2">
      <t>ゲツガク</t>
    </rPh>
    <rPh sb="2" eb="5">
      <t>ホショウリョウ</t>
    </rPh>
    <phoneticPr fontId="3"/>
  </si>
  <si>
    <t>その他</t>
    <rPh sb="2" eb="3">
      <t>タ</t>
    </rPh>
    <phoneticPr fontId="3"/>
  </si>
  <si>
    <t>別途支払い</t>
    <rPh sb="0" eb="4">
      <t>ベットシハラ</t>
    </rPh>
    <phoneticPr fontId="3"/>
  </si>
  <si>
    <t>防虫消毒費</t>
    <rPh sb="0" eb="2">
      <t>ボウチュウ</t>
    </rPh>
    <rPh sb="2" eb="4">
      <t>ショウドク</t>
    </rPh>
    <rPh sb="4" eb="5">
      <t>ヒ</t>
    </rPh>
    <phoneticPr fontId="3"/>
  </si>
  <si>
    <t>安心入居サポート</t>
    <rPh sb="0" eb="4">
      <t>アンシンニュウキョ</t>
    </rPh>
    <phoneticPr fontId="3"/>
  </si>
  <si>
    <t>ファイテック契約費用</t>
    <rPh sb="6" eb="10">
      <t>ケイヤクヒヨウ</t>
    </rPh>
    <phoneticPr fontId="3"/>
  </si>
  <si>
    <t>この度は、(株)アールを御利用頂き誠に有り難うございました。御契約完了まで</t>
    <rPh sb="0" eb="3">
      <t>コノタビ</t>
    </rPh>
    <rPh sb="6" eb="7">
      <t>カブ</t>
    </rPh>
    <rPh sb="12" eb="15">
      <t>ゴリヨウ</t>
    </rPh>
    <rPh sb="15" eb="16">
      <t>イタダキ</t>
    </rPh>
    <rPh sb="17" eb="18">
      <t>マコト</t>
    </rPh>
    <rPh sb="19" eb="22">
      <t>アリガト</t>
    </rPh>
    <rPh sb="30" eb="33">
      <t>ゴケイヤク</t>
    </rPh>
    <rPh sb="33" eb="35">
      <t>カンリョウ</t>
    </rPh>
    <phoneticPr fontId="3"/>
  </si>
  <si>
    <t>この度は、蓮産業株式会社を御利用頂き誠に有り難うございました。御契約完了まで</t>
    <rPh sb="0" eb="3">
      <t>コノタビ</t>
    </rPh>
    <rPh sb="5" eb="12">
      <t>ハスサンギョウカブシキガイシャ</t>
    </rPh>
    <rPh sb="13" eb="16">
      <t>ゴリヨウ</t>
    </rPh>
    <rPh sb="16" eb="17">
      <t>イタダキ</t>
    </rPh>
    <rPh sb="18" eb="19">
      <t>マコト</t>
    </rPh>
    <rPh sb="20" eb="23">
      <t>アリガト</t>
    </rPh>
    <rPh sb="31" eb="34">
      <t>ゴケイヤク</t>
    </rPh>
    <rPh sb="34" eb="36">
      <t>カンリョウ</t>
    </rPh>
    <phoneticPr fontId="3"/>
  </si>
  <si>
    <t>大阪市中央区瓦町3-4-10</t>
    <rPh sb="0" eb="3">
      <t>オオサカシ</t>
    </rPh>
    <rPh sb="3" eb="6">
      <t>チュウオウク</t>
    </rPh>
    <rPh sb="6" eb="7">
      <t>カワラ</t>
    </rPh>
    <rPh sb="7" eb="8">
      <t>マチ</t>
    </rPh>
    <phoneticPr fontId="3"/>
  </si>
  <si>
    <t>月分 家 賃</t>
    <rPh sb="0" eb="2">
      <t>ツキブン</t>
    </rPh>
    <rPh sb="3" eb="6">
      <t>ヤチン</t>
    </rPh>
    <phoneticPr fontId="3"/>
  </si>
  <si>
    <t>月分共益費</t>
    <rPh sb="0" eb="2">
      <t>ツキブン</t>
    </rPh>
    <rPh sb="2" eb="4">
      <t>キョウエキ</t>
    </rPh>
    <rPh sb="4" eb="5">
      <t>ヒ</t>
    </rPh>
    <phoneticPr fontId="3"/>
  </si>
  <si>
    <t>〒541-0048</t>
    <phoneticPr fontId="3"/>
  </si>
  <si>
    <t>消費税</t>
    <rPh sb="0" eb="3">
      <t>ショウヒゼイ</t>
    </rPh>
    <phoneticPr fontId="3"/>
  </si>
  <si>
    <t>ギガ賃貸の場合</t>
    <rPh sb="4" eb="6">
      <t>バアイ</t>
    </rPh>
    <phoneticPr fontId="3"/>
  </si>
  <si>
    <t>ギガ割</t>
    <rPh sb="2" eb="3">
      <t>ワリ</t>
    </rPh>
    <phoneticPr fontId="3"/>
  </si>
  <si>
    <t>火災保険</t>
    <rPh sb="0" eb="4">
      <t>カサイホケン</t>
    </rPh>
    <phoneticPr fontId="3"/>
  </si>
  <si>
    <t xml:space="preserve"> 仲介手数料 </t>
    <phoneticPr fontId="3"/>
  </si>
  <si>
    <t>一般的な不動産屋</t>
    <rPh sb="0" eb="3">
      <t>イッパンテキ</t>
    </rPh>
    <rPh sb="4" eb="8">
      <t>フドウサンヤ</t>
    </rPh>
    <phoneticPr fontId="3"/>
  </si>
  <si>
    <t>翌</t>
    <rPh sb="0" eb="1">
      <t>ヨク</t>
    </rPh>
    <phoneticPr fontId="3"/>
  </si>
  <si>
    <t xml:space="preserve"> 差引請求金額</t>
    <phoneticPr fontId="3"/>
  </si>
  <si>
    <t xml:space="preserve">	ハーモニーテラス生野西</t>
    <phoneticPr fontId="3"/>
  </si>
  <si>
    <t>抗菌施工費</t>
    <rPh sb="0" eb="5">
      <t>コウキンセコウヒ</t>
    </rPh>
    <phoneticPr fontId="3"/>
  </si>
  <si>
    <t>賃貸保証料(保証人有)</t>
    <rPh sb="6" eb="9">
      <t>ホショウニン</t>
    </rPh>
    <rPh sb="9" eb="10">
      <t>アリ</t>
    </rPh>
    <phoneticPr fontId="3"/>
  </si>
  <si>
    <t>日宝御堂ビル5F</t>
    <rPh sb="0" eb="1">
      <t>ヒ</t>
    </rPh>
    <rPh sb="1" eb="2">
      <t>タカラ</t>
    </rPh>
    <rPh sb="2" eb="4">
      <t>ミドウ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</si>
</sst>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quot;¥&quot;\-#,##0"/>
    <numFmt numFmtId="6" formatCode="&quot;¥&quot;#,##0;[Red]&quot;¥&quot;\-#,##0"/>
    <numFmt numFmtId="176" formatCode="m/d"/>
    <numFmt numFmtId="177" formatCode="&quot;¥&quot;#,##0;[Red]&quot;¥&quot;#,##0"/>
    <numFmt numFmtId="178" formatCode="#,##0;[Red]#,##0"/>
    <numFmt numFmtId="185" formatCode="0_);[Red]\(0\)"/>
    <numFmt numFmtId="186" formatCode="#,##0_);[Red]\(#,##0\)"/>
    <numFmt numFmtId="194" formatCode="[$-F800]dddd\,\ mmmm\ dd\,\ yyyy"/>
    <numFmt numFmtId="198" formatCode="m/d;@"/>
    <numFmt numFmtId="202" formatCode="#,##0_ "/>
  </numFmts>
  <fonts count="81" x14ac:knownFonts="1">
    <font>
      <sz val="11"/>
      <name val="ＭＳ Ｐゴシック"/>
      <family val="3"/>
      <charset val="128"/>
    </font>
    <font>
      <sz val="11"/>
      <name val="ＭＳ Ｐゴシック"/>
      <family val="3"/>
      <charset val="128"/>
    </font>
    <font>
      <u/>
      <sz val="11"/>
      <name val="ＭＳ Ｐゴシック"/>
      <family val="3"/>
      <charset val="128"/>
    </font>
    <font>
      <sz val="6"/>
      <name val="ＭＳ Ｐゴシック"/>
      <family val="3"/>
      <charset val="128"/>
    </font>
    <font>
      <sz val="16"/>
      <name val="ＭＳ Ｐゴシック"/>
      <family val="3"/>
      <charset val="128"/>
    </font>
    <font>
      <sz val="8"/>
      <name val="ＭＳ Ｐゴシック"/>
      <family val="3"/>
      <charset val="128"/>
    </font>
    <font>
      <sz val="12"/>
      <name val="ＭＳ Ｐゴシック"/>
      <family val="3"/>
      <charset val="128"/>
    </font>
    <font>
      <sz val="9"/>
      <name val="ＭＳ Ｐゴシック"/>
      <family val="3"/>
      <charset val="128"/>
    </font>
    <font>
      <sz val="18"/>
      <name val="ＭＳ Ｐゴシック"/>
      <family val="3"/>
      <charset val="128"/>
    </font>
    <font>
      <b/>
      <sz val="11"/>
      <name val="ＭＳ Ｐゴシック"/>
      <family val="3"/>
      <charset val="128"/>
    </font>
    <font>
      <b/>
      <sz val="14"/>
      <name val="ＭＳ Ｐゴシック"/>
      <family val="3"/>
      <charset val="128"/>
    </font>
    <font>
      <sz val="11"/>
      <name val="ＭＳ Ｐゴシック"/>
      <family val="3"/>
      <charset val="128"/>
    </font>
    <font>
      <b/>
      <sz val="12"/>
      <name val="ＭＳ Ｐゴシック"/>
      <family val="3"/>
      <charset val="128"/>
    </font>
    <font>
      <sz val="28"/>
      <name val="ＭＳ Ｐ明朝"/>
      <family val="1"/>
      <charset val="128"/>
    </font>
    <font>
      <sz val="24"/>
      <name val="ＭＳ Ｐ明朝"/>
      <family val="1"/>
      <charset val="128"/>
    </font>
    <font>
      <b/>
      <sz val="14"/>
      <name val="ＭＳ Ｐ明朝"/>
      <family val="1"/>
      <charset val="128"/>
    </font>
    <font>
      <b/>
      <sz val="11"/>
      <name val="ＭＳ Ｐ明朝"/>
      <family val="1"/>
      <charset val="128"/>
    </font>
    <font>
      <b/>
      <sz val="16"/>
      <name val="ＭＳ Ｐ明朝"/>
      <family val="1"/>
      <charset val="128"/>
    </font>
    <font>
      <sz val="22"/>
      <name val="ＭＳ Ｐゴシック"/>
      <family val="3"/>
      <charset val="128"/>
    </font>
    <font>
      <sz val="14"/>
      <name val="ＭＳ Ｐゴシック"/>
      <family val="3"/>
      <charset val="128"/>
    </font>
    <font>
      <b/>
      <sz val="16"/>
      <name val="ＭＳ Ｐゴシック"/>
      <family val="3"/>
      <charset val="128"/>
    </font>
    <font>
      <sz val="2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name val="ＭＳ Ｐ明朝"/>
      <family val="1"/>
      <charset val="128"/>
    </font>
    <font>
      <b/>
      <i/>
      <sz val="20"/>
      <name val="ＭＳ Ｐ明朝"/>
      <family val="1"/>
      <charset val="128"/>
    </font>
    <font>
      <sz val="9"/>
      <name val="ＭＳ Ｐ明朝"/>
      <family val="1"/>
      <charset val="128"/>
    </font>
    <font>
      <sz val="20"/>
      <name val="ＭＳ Ｐ明朝"/>
      <family val="1"/>
      <charset val="128"/>
    </font>
    <font>
      <sz val="12"/>
      <name val="ＭＳ Ｐ明朝"/>
      <family val="1"/>
      <charset val="128"/>
    </font>
    <font>
      <sz val="14"/>
      <name val="ＭＳ Ｐ明朝"/>
      <family val="1"/>
      <charset val="128"/>
    </font>
    <font>
      <sz val="8"/>
      <name val="ＭＳ Ｐ明朝"/>
      <family val="1"/>
      <charset val="128"/>
    </font>
    <font>
      <sz val="10"/>
      <name val="ＭＳ Ｐ明朝"/>
      <family val="1"/>
      <charset val="128"/>
    </font>
    <font>
      <sz val="8.35"/>
      <color indexed="63"/>
      <name val="ＭＳ Ｐゴシック"/>
      <family val="3"/>
      <charset val="128"/>
    </font>
    <font>
      <sz val="10"/>
      <name val="ＭＳ Ｐゴシック"/>
      <family val="3"/>
      <charset val="128"/>
    </font>
    <font>
      <sz val="6"/>
      <name val="ＭＳ Ｐ明朝"/>
      <family val="1"/>
      <charset val="128"/>
    </font>
    <font>
      <sz val="14"/>
      <name val="HGS創英角ｺﾞｼｯｸUB"/>
      <family val="3"/>
      <charset val="128"/>
    </font>
    <font>
      <sz val="6"/>
      <color indexed="10"/>
      <name val="ＭＳ Ｐ明朝"/>
      <family val="1"/>
      <charset val="128"/>
    </font>
    <font>
      <sz val="8"/>
      <color indexed="10"/>
      <name val="ＭＳ Ｐ明朝"/>
      <family val="1"/>
      <charset val="128"/>
    </font>
    <font>
      <b/>
      <sz val="9"/>
      <name val="ＭＳ Ｐ明朝"/>
      <family val="1"/>
      <charset val="128"/>
    </font>
    <font>
      <b/>
      <sz val="12"/>
      <name val="HG丸ｺﾞｼｯｸM-PRO"/>
      <family val="3"/>
      <charset val="128"/>
    </font>
    <font>
      <b/>
      <sz val="10"/>
      <name val="ＭＳ Ｐ明朝"/>
      <family val="1"/>
      <charset val="128"/>
    </font>
    <font>
      <b/>
      <sz val="12"/>
      <name val="ＭＳ Ｐ明朝"/>
      <family val="1"/>
      <charset val="128"/>
    </font>
    <font>
      <b/>
      <sz val="6"/>
      <name val="ＭＳ Ｐ明朝"/>
      <family val="1"/>
      <charset val="128"/>
    </font>
    <font>
      <sz val="11"/>
      <name val="HG創英角ﾎﾟｯﾌﾟ体"/>
      <family val="3"/>
      <charset val="128"/>
    </font>
    <font>
      <sz val="16"/>
      <name val="HG創英角ﾎﾟｯﾌﾟ体"/>
      <family val="3"/>
      <charset val="128"/>
    </font>
    <font>
      <sz val="11"/>
      <name val="HGS創英角ﾎﾟｯﾌﾟ体"/>
      <family val="3"/>
      <charset val="128"/>
    </font>
    <font>
      <b/>
      <sz val="11"/>
      <name val="HGS創英角ﾎﾟｯﾌﾟ体"/>
      <family val="3"/>
      <charset val="128"/>
    </font>
    <font>
      <b/>
      <sz val="9"/>
      <name val="ＭＳ Ｐゴシック"/>
      <family val="3"/>
      <charset val="128"/>
    </font>
    <font>
      <b/>
      <sz val="20"/>
      <name val="ＭＳ Ｐゴシック"/>
      <family val="3"/>
      <charset val="128"/>
    </font>
    <font>
      <b/>
      <sz val="24"/>
      <name val="ＭＳ Ｐゴシック"/>
      <family val="3"/>
      <charset val="128"/>
    </font>
    <font>
      <sz val="26"/>
      <name val="ＭＳ Ｐゴシック"/>
      <family val="3"/>
      <charset val="128"/>
    </font>
    <font>
      <sz val="9"/>
      <color indexed="10"/>
      <name val="ＭＳ Ｐ明朝"/>
      <family val="1"/>
      <charset val="128"/>
    </font>
    <font>
      <b/>
      <sz val="10"/>
      <name val="ＭＳ Ｐゴシック"/>
      <family val="3"/>
      <charset val="128"/>
    </font>
    <font>
      <sz val="11"/>
      <color indexed="10"/>
      <name val="ＭＳ Ｐゴシック"/>
      <family val="3"/>
      <charset val="128"/>
    </font>
    <font>
      <sz val="7"/>
      <name val="ＭＳ Ｐゴシック"/>
      <family val="3"/>
      <charset val="128"/>
    </font>
    <font>
      <sz val="6.5"/>
      <name val="ＭＳ Ｐゴシック"/>
      <family val="3"/>
      <charset val="128"/>
    </font>
    <font>
      <b/>
      <sz val="10"/>
      <color rgb="FFFF0000"/>
      <name val="ＭＳ Ｐゴシック"/>
      <family val="3"/>
      <charset val="128"/>
    </font>
    <font>
      <sz val="18"/>
      <color rgb="FFFF0000"/>
      <name val="ＭＳ Ｐゴシック"/>
      <family val="3"/>
      <charset val="128"/>
    </font>
    <font>
      <b/>
      <sz val="11"/>
      <color rgb="FFFF0000"/>
      <name val="ＭＳ Ｐゴシック"/>
      <family val="3"/>
      <charset val="128"/>
    </font>
    <font>
      <sz val="13"/>
      <color rgb="FFFF0000"/>
      <name val="HGS創英角ｺﾞｼｯｸUB"/>
      <family val="3"/>
      <charset val="128"/>
    </font>
    <font>
      <b/>
      <sz val="11"/>
      <color theme="1" tint="4.9989318521683403E-2"/>
      <name val="ＭＳ Ｐゴシック"/>
      <family val="3"/>
      <charset val="128"/>
      <scheme val="major"/>
    </font>
    <font>
      <sz val="11"/>
      <color theme="1" tint="4.9989318521683403E-2"/>
      <name val="ＭＳ Ｐゴシック"/>
      <family val="3"/>
      <charset val="128"/>
      <scheme val="major"/>
    </font>
    <font>
      <b/>
      <sz val="14"/>
      <color rgb="FFFF0000"/>
      <name val="ＭＳ Ｐゴシック"/>
      <family val="3"/>
      <charset val="128"/>
    </font>
    <font>
      <sz val="16"/>
      <color rgb="FFFF0000"/>
      <name val="ＭＳ Ｐゴシック"/>
      <family val="3"/>
      <charset val="128"/>
    </font>
    <font>
      <b/>
      <sz val="22"/>
      <color rgb="FFFF0000"/>
      <name val="ＭＳ Ｐゴシック"/>
      <family val="3"/>
      <charset val="128"/>
    </font>
    <font>
      <b/>
      <sz val="20"/>
      <color rgb="FFFF0000"/>
      <name val="ＭＳ Ｐゴシック"/>
      <family val="3"/>
      <charset val="128"/>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2"/>
        <bgColor indexed="64"/>
      </patternFill>
    </fill>
    <fill>
      <patternFill patternType="solid">
        <fgColor indexed="45"/>
        <bgColor indexed="64"/>
      </patternFill>
    </fill>
    <fill>
      <patternFill patternType="solid">
        <fgColor indexed="22"/>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s>
  <borders count="156">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style="thin">
        <color indexed="64"/>
      </bottom>
      <diagonal/>
    </border>
    <border>
      <left/>
      <right style="double">
        <color indexed="64"/>
      </right>
      <top style="medium">
        <color indexed="64"/>
      </top>
      <bottom style="thin">
        <color indexed="64"/>
      </bottom>
      <diagonal/>
    </border>
    <border>
      <left style="medium">
        <color indexed="64"/>
      </left>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style="medium">
        <color indexed="64"/>
      </left>
      <right/>
      <top style="thin">
        <color indexed="64"/>
      </top>
      <bottom/>
      <diagonal/>
    </border>
    <border>
      <left/>
      <right style="double">
        <color indexed="64"/>
      </right>
      <top/>
      <bottom/>
      <diagonal/>
    </border>
    <border>
      <left/>
      <right style="double">
        <color indexed="64"/>
      </right>
      <top style="double">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top style="thin">
        <color indexed="64"/>
      </top>
      <bottom style="double">
        <color indexed="64"/>
      </bottom>
      <diagonal/>
    </border>
    <border>
      <left style="medium">
        <color indexed="64"/>
      </left>
      <right style="double">
        <color indexed="64"/>
      </right>
      <top style="thin">
        <color indexed="64"/>
      </top>
      <bottom style="thin">
        <color indexed="64"/>
      </bottom>
      <diagonal/>
    </border>
    <border>
      <left style="double">
        <color indexed="64"/>
      </left>
      <right style="double">
        <color indexed="64"/>
      </right>
      <top style="medium">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top style="double">
        <color indexed="64"/>
      </top>
      <bottom style="double">
        <color indexed="64"/>
      </bottom>
      <diagonal/>
    </border>
    <border>
      <left style="medium">
        <color indexed="64"/>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diagonalUp="1">
      <left style="medium">
        <color indexed="64"/>
      </left>
      <right style="double">
        <color indexed="64"/>
      </right>
      <top style="thin">
        <color indexed="64"/>
      </top>
      <bottom style="thin">
        <color indexed="64"/>
      </bottom>
      <diagonal style="thin">
        <color indexed="64"/>
      </diagonal>
    </border>
    <border>
      <left style="double">
        <color indexed="64"/>
      </left>
      <right/>
      <top style="medium">
        <color indexed="64"/>
      </top>
      <bottom style="thin">
        <color indexed="64"/>
      </bottom>
      <diagonal/>
    </border>
    <border>
      <left style="double">
        <color indexed="64"/>
      </left>
      <right/>
      <top style="thin">
        <color indexed="64"/>
      </top>
      <bottom style="double">
        <color indexed="64"/>
      </bottom>
      <diagonal/>
    </border>
    <border>
      <left style="double">
        <color indexed="64"/>
      </left>
      <right style="medium">
        <color indexed="64"/>
      </right>
      <top style="double">
        <color indexed="64"/>
      </top>
      <bottom style="thin">
        <color indexed="64"/>
      </bottom>
      <diagonal/>
    </border>
    <border>
      <left style="double">
        <color indexed="64"/>
      </left>
      <right style="medium">
        <color indexed="64"/>
      </right>
      <top/>
      <bottom style="double">
        <color indexed="64"/>
      </bottom>
      <diagonal/>
    </border>
    <border>
      <left style="double">
        <color indexed="64"/>
      </left>
      <right/>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style="thin">
        <color indexed="64"/>
      </top>
      <bottom style="double">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double">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style="double">
        <color indexed="64"/>
      </bottom>
      <diagonal style="thin">
        <color indexed="64"/>
      </diagonal>
    </border>
    <border diagonalUp="1">
      <left style="thin">
        <color indexed="64"/>
      </left>
      <right style="double">
        <color indexed="64"/>
      </right>
      <top style="thin">
        <color indexed="64"/>
      </top>
      <bottom style="double">
        <color indexed="64"/>
      </bottom>
      <diagonal style="thin">
        <color indexed="64"/>
      </diagonal>
    </border>
    <border>
      <left/>
      <right style="medium">
        <color indexed="64"/>
      </right>
      <top/>
      <bottom style="thin">
        <color indexed="64"/>
      </bottom>
      <diagonal/>
    </border>
    <border>
      <left style="medium">
        <color indexed="64"/>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medium">
        <color indexed="64"/>
      </right>
      <top style="medium">
        <color indexed="64"/>
      </top>
      <bottom style="thin">
        <color indexed="64"/>
      </bottom>
      <diagonal/>
    </border>
    <border>
      <left/>
      <right style="medium">
        <color indexed="64"/>
      </right>
      <top style="double">
        <color indexed="64"/>
      </top>
      <bottom style="medium">
        <color indexed="64"/>
      </bottom>
      <diagonal/>
    </border>
    <border>
      <left style="thin">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style="thin">
        <color indexed="64"/>
      </bottom>
      <diagonal/>
    </border>
    <border>
      <left style="medium">
        <color indexed="64"/>
      </left>
      <right/>
      <top style="thin">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ashed">
        <color indexed="64"/>
      </bottom>
      <diagonal/>
    </border>
    <border>
      <left style="double">
        <color indexed="64"/>
      </left>
      <right/>
      <top style="dashed">
        <color indexed="64"/>
      </top>
      <bottom style="dashed">
        <color indexed="64"/>
      </bottom>
      <diagonal/>
    </border>
    <border>
      <left style="double">
        <color indexed="64"/>
      </left>
      <right/>
      <top style="dashed">
        <color indexed="64"/>
      </top>
      <bottom style="double">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double">
        <color indexed="64"/>
      </right>
      <top style="medium">
        <color indexed="64"/>
      </top>
      <bottom/>
      <diagonal/>
    </border>
    <border>
      <left style="double">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double">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double">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style="double">
        <color indexed="64"/>
      </right>
      <top style="thin">
        <color indexed="64"/>
      </top>
      <bottom style="double">
        <color indexed="64"/>
      </bottom>
      <diagonal/>
    </border>
    <border>
      <left style="medium">
        <color indexed="64"/>
      </left>
      <right style="double">
        <color indexed="64"/>
      </right>
      <top style="thin">
        <color indexed="64"/>
      </top>
      <bottom style="double">
        <color indexed="64"/>
      </bottom>
      <diagonal/>
    </border>
    <border>
      <left/>
      <right style="medium">
        <color indexed="64"/>
      </right>
      <top style="thin">
        <color indexed="64"/>
      </top>
      <bottom style="double">
        <color indexed="64"/>
      </bottom>
      <diagonal/>
    </border>
    <border>
      <left/>
      <right style="double">
        <color indexed="64"/>
      </right>
      <top style="thin">
        <color indexed="64"/>
      </top>
      <bottom/>
      <diagonal/>
    </border>
    <border>
      <left style="medium">
        <color indexed="64"/>
      </left>
      <right/>
      <top style="double">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right style="dotted">
        <color indexed="64"/>
      </right>
      <top style="thin">
        <color indexed="64"/>
      </top>
      <bottom/>
      <diagonal/>
    </border>
    <border>
      <left/>
      <right style="dotted">
        <color indexed="64"/>
      </right>
      <top/>
      <bottom style="thin">
        <color indexed="64"/>
      </bottom>
      <diagonal/>
    </border>
    <border>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right style="double">
        <color indexed="64"/>
      </right>
      <top/>
      <bottom style="thin">
        <color indexed="64"/>
      </bottom>
      <diagonal/>
    </border>
    <border>
      <left style="double">
        <color indexed="64"/>
      </left>
      <right style="dotted">
        <color indexed="64"/>
      </right>
      <top style="thin">
        <color indexed="64"/>
      </top>
      <bottom/>
      <diagonal/>
    </border>
    <border>
      <left style="dotted">
        <color indexed="64"/>
      </left>
      <right style="thin">
        <color indexed="64"/>
      </right>
      <top style="thin">
        <color indexed="64"/>
      </top>
      <bottom/>
      <diagonal/>
    </border>
    <border>
      <left style="dotted">
        <color indexed="64"/>
      </left>
      <right/>
      <top style="thin">
        <color indexed="64"/>
      </top>
      <bottom/>
      <diagonal/>
    </border>
    <border>
      <left style="dotted">
        <color indexed="64"/>
      </left>
      <right/>
      <top/>
      <bottom style="thin">
        <color indexed="64"/>
      </bottom>
      <diagonal/>
    </border>
    <border>
      <left style="thin">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diagonal/>
    </border>
    <border>
      <left/>
      <right style="double">
        <color indexed="64"/>
      </right>
      <top style="double">
        <color indexed="64"/>
      </top>
      <bottom/>
      <diagonal/>
    </border>
    <border>
      <left style="double">
        <color indexed="64"/>
      </left>
      <right style="dotted">
        <color indexed="64"/>
      </right>
      <top style="double">
        <color indexed="64"/>
      </top>
      <bottom/>
      <diagonal/>
    </border>
    <border>
      <left style="dotted">
        <color indexed="64"/>
      </left>
      <right style="thin">
        <color indexed="64"/>
      </right>
      <top style="double">
        <color indexed="64"/>
      </top>
      <bottom/>
      <diagonal/>
    </border>
    <border>
      <left style="thin">
        <color indexed="64"/>
      </left>
      <right style="dotted">
        <color indexed="64"/>
      </right>
      <top style="double">
        <color indexed="64"/>
      </top>
      <bottom/>
      <diagonal/>
    </border>
    <border>
      <left style="dotted">
        <color indexed="64"/>
      </left>
      <right style="dotted">
        <color indexed="64"/>
      </right>
      <top style="double">
        <color indexed="64"/>
      </top>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45">
    <xf numFmtId="0" fontId="0" fillId="0" borderId="0"/>
    <xf numFmtId="0" fontId="22" fillId="2" borderId="0" applyNumberFormat="0" applyBorder="0" applyAlignment="0" applyProtection="0">
      <alignment vertical="center"/>
    </xf>
    <xf numFmtId="0" fontId="22" fillId="3" borderId="0" applyNumberFormat="0" applyBorder="0" applyAlignment="0" applyProtection="0">
      <alignment vertical="center"/>
    </xf>
    <xf numFmtId="0" fontId="22" fillId="4" borderId="0" applyNumberFormat="0" applyBorder="0" applyAlignment="0" applyProtection="0">
      <alignment vertical="center"/>
    </xf>
    <xf numFmtId="0" fontId="22" fillId="5" borderId="0" applyNumberFormat="0" applyBorder="0" applyAlignment="0" applyProtection="0">
      <alignment vertical="center"/>
    </xf>
    <xf numFmtId="0" fontId="22" fillId="6" borderId="0" applyNumberFormat="0" applyBorder="0" applyAlignment="0" applyProtection="0">
      <alignment vertical="center"/>
    </xf>
    <xf numFmtId="0" fontId="22" fillId="7" borderId="0" applyNumberFormat="0" applyBorder="0" applyAlignment="0" applyProtection="0">
      <alignment vertical="center"/>
    </xf>
    <xf numFmtId="0" fontId="22" fillId="8" borderId="0" applyNumberFormat="0" applyBorder="0" applyAlignment="0" applyProtection="0">
      <alignment vertical="center"/>
    </xf>
    <xf numFmtId="0" fontId="22" fillId="9" borderId="0" applyNumberFormat="0" applyBorder="0" applyAlignment="0" applyProtection="0">
      <alignment vertical="center"/>
    </xf>
    <xf numFmtId="0" fontId="22" fillId="10" borderId="0" applyNumberFormat="0" applyBorder="0" applyAlignment="0" applyProtection="0">
      <alignment vertical="center"/>
    </xf>
    <xf numFmtId="0" fontId="22" fillId="5"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3" fillId="19" borderId="0" applyNumberFormat="0" applyBorder="0" applyAlignment="0" applyProtection="0">
      <alignment vertical="center"/>
    </xf>
    <xf numFmtId="0" fontId="24" fillId="0" borderId="0" applyNumberFormat="0" applyFill="0" applyBorder="0" applyAlignment="0" applyProtection="0">
      <alignment vertical="center"/>
    </xf>
    <xf numFmtId="0" fontId="25" fillId="20" borderId="1" applyNumberFormat="0" applyAlignment="0" applyProtection="0">
      <alignment vertical="center"/>
    </xf>
    <xf numFmtId="0" fontId="26" fillId="21" borderId="0" applyNumberFormat="0" applyBorder="0" applyAlignment="0" applyProtection="0">
      <alignment vertical="center"/>
    </xf>
    <xf numFmtId="0" fontId="11" fillId="22" borderId="2" applyNumberFormat="0" applyFont="0" applyAlignment="0" applyProtection="0">
      <alignment vertical="center"/>
    </xf>
    <xf numFmtId="0" fontId="27" fillId="0" borderId="3" applyNumberFormat="0" applyFill="0" applyAlignment="0" applyProtection="0">
      <alignment vertical="center"/>
    </xf>
    <xf numFmtId="0" fontId="28" fillId="3" borderId="0" applyNumberFormat="0" applyBorder="0" applyAlignment="0" applyProtection="0">
      <alignment vertical="center"/>
    </xf>
    <xf numFmtId="0" fontId="29" fillId="23" borderId="4" applyNumberFormat="0" applyAlignment="0" applyProtection="0">
      <alignment vertical="center"/>
    </xf>
    <xf numFmtId="0" fontId="30" fillId="0" borderId="0" applyNumberFormat="0" applyFill="0" applyBorder="0" applyAlignment="0" applyProtection="0">
      <alignment vertical="center"/>
    </xf>
    <xf numFmtId="38" fontId="1" fillId="0" borderId="0" applyFont="0" applyFill="0" applyBorder="0" applyAlignment="0" applyProtection="0"/>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3" fillId="0" borderId="7" applyNumberFormat="0" applyFill="0" applyAlignment="0" applyProtection="0">
      <alignment vertical="center"/>
    </xf>
    <xf numFmtId="0" fontId="33" fillId="0" borderId="0" applyNumberFormat="0" applyFill="0" applyBorder="0" applyAlignment="0" applyProtection="0">
      <alignment vertical="center"/>
    </xf>
    <xf numFmtId="0" fontId="34" fillId="0" borderId="8" applyNumberFormat="0" applyFill="0" applyAlignment="0" applyProtection="0">
      <alignment vertical="center"/>
    </xf>
    <xf numFmtId="0" fontId="35" fillId="23" borderId="9" applyNumberFormat="0" applyAlignment="0" applyProtection="0">
      <alignment vertical="center"/>
    </xf>
    <xf numFmtId="0" fontId="36" fillId="0" borderId="0" applyNumberFormat="0" applyFill="0" applyBorder="0" applyAlignment="0" applyProtection="0">
      <alignment vertical="center"/>
    </xf>
    <xf numFmtId="6" fontId="1" fillId="0" borderId="0" applyFont="0" applyFill="0" applyBorder="0" applyAlignment="0" applyProtection="0"/>
    <xf numFmtId="0" fontId="37" fillId="7" borderId="4" applyNumberFormat="0" applyAlignment="0" applyProtection="0">
      <alignment vertical="center"/>
    </xf>
    <xf numFmtId="0" fontId="11" fillId="0" borderId="0">
      <alignment vertical="center"/>
    </xf>
    <xf numFmtId="0" fontId="38" fillId="4" borderId="0" applyNumberFormat="0" applyBorder="0" applyAlignment="0" applyProtection="0">
      <alignment vertical="center"/>
    </xf>
  </cellStyleXfs>
  <cellXfs count="682">
    <xf numFmtId="0" fontId="0" fillId="0" borderId="0" xfId="0"/>
    <xf numFmtId="0" fontId="2" fillId="0" borderId="0" xfId="0" applyFont="1"/>
    <xf numFmtId="0" fontId="0" fillId="0" borderId="10" xfId="0" applyBorder="1"/>
    <xf numFmtId="0" fontId="0" fillId="0" borderId="11" xfId="0" applyBorder="1"/>
    <xf numFmtId="0" fontId="0" fillId="0" borderId="12" xfId="0" applyBorder="1"/>
    <xf numFmtId="0" fontId="0" fillId="0" borderId="0"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0" xfId="0" applyAlignment="1">
      <alignment horizontal="centerContinuous"/>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4" fillId="0" borderId="0" xfId="0" applyFont="1" applyBorder="1"/>
    <xf numFmtId="176" fontId="0" fillId="0" borderId="17" xfId="0" applyNumberFormat="1" applyBorder="1"/>
    <xf numFmtId="176" fontId="0" fillId="0" borderId="15" xfId="0" applyNumberFormat="1" applyBorder="1"/>
    <xf numFmtId="0" fontId="0" fillId="0" borderId="0" xfId="0" applyFill="1" applyBorder="1" applyAlignment="1">
      <alignment horizontal="distributed"/>
    </xf>
    <xf numFmtId="0" fontId="0" fillId="0" borderId="28" xfId="0" applyBorder="1"/>
    <xf numFmtId="0" fontId="0" fillId="0" borderId="29" xfId="0" applyBorder="1"/>
    <xf numFmtId="0" fontId="0" fillId="0" borderId="30" xfId="0" applyBorder="1"/>
    <xf numFmtId="178" fontId="0" fillId="0" borderId="31" xfId="0" applyNumberFormat="1" applyBorder="1"/>
    <xf numFmtId="178" fontId="0" fillId="0" borderId="32" xfId="0" applyNumberFormat="1" applyBorder="1"/>
    <xf numFmtId="0" fontId="0" fillId="0" borderId="12" xfId="0" applyFill="1" applyBorder="1"/>
    <xf numFmtId="3" fontId="0" fillId="0" borderId="33" xfId="0" applyNumberFormat="1" applyBorder="1"/>
    <xf numFmtId="3" fontId="0" fillId="0" borderId="34" xfId="0" applyNumberFormat="1" applyBorder="1"/>
    <xf numFmtId="3" fontId="0" fillId="0" borderId="35" xfId="0" applyNumberFormat="1" applyBorder="1"/>
    <xf numFmtId="3" fontId="0" fillId="0" borderId="36" xfId="0" applyNumberFormat="1" applyBorder="1"/>
    <xf numFmtId="3" fontId="0" fillId="0" borderId="37" xfId="0" applyNumberFormat="1" applyBorder="1"/>
    <xf numFmtId="3" fontId="0" fillId="0" borderId="38" xfId="0" applyNumberFormat="1" applyBorder="1"/>
    <xf numFmtId="0" fontId="0" fillId="24" borderId="39" xfId="0" applyFill="1" applyBorder="1"/>
    <xf numFmtId="0" fontId="0" fillId="24" borderId="40" xfId="0" applyFill="1" applyBorder="1"/>
    <xf numFmtId="0" fontId="0" fillId="24" borderId="41" xfId="0" applyFill="1" applyBorder="1"/>
    <xf numFmtId="0" fontId="0" fillId="24" borderId="42" xfId="0" applyFill="1" applyBorder="1"/>
    <xf numFmtId="0" fontId="0" fillId="24" borderId="43" xfId="0" applyFill="1" applyBorder="1"/>
    <xf numFmtId="178" fontId="0" fillId="0" borderId="15" xfId="0" applyNumberFormat="1" applyBorder="1"/>
    <xf numFmtId="0" fontId="6" fillId="0" borderId="0" xfId="0" applyFont="1"/>
    <xf numFmtId="3" fontId="0" fillId="25" borderId="44" xfId="0" applyNumberFormat="1" applyFill="1" applyBorder="1"/>
    <xf numFmtId="0" fontId="0" fillId="24" borderId="45" xfId="0" applyFill="1" applyBorder="1"/>
    <xf numFmtId="0" fontId="0" fillId="24" borderId="31" xfId="0" applyFill="1" applyBorder="1"/>
    <xf numFmtId="0" fontId="0" fillId="24" borderId="46" xfId="0" applyFill="1" applyBorder="1"/>
    <xf numFmtId="0" fontId="0" fillId="24" borderId="47" xfId="0" applyFill="1" applyBorder="1"/>
    <xf numFmtId="0" fontId="0" fillId="24" borderId="48" xfId="0" applyFill="1" applyBorder="1"/>
    <xf numFmtId="0" fontId="0" fillId="24" borderId="49" xfId="0" applyFill="1" applyBorder="1"/>
    <xf numFmtId="0" fontId="0" fillId="24" borderId="50" xfId="0" applyFill="1" applyBorder="1"/>
    <xf numFmtId="0" fontId="0" fillId="24" borderId="51" xfId="0" applyFill="1" applyBorder="1"/>
    <xf numFmtId="0" fontId="0" fillId="24" borderId="52" xfId="0" applyFill="1" applyBorder="1"/>
    <xf numFmtId="0" fontId="0" fillId="24" borderId="53" xfId="0" applyFill="1" applyBorder="1"/>
    <xf numFmtId="0" fontId="0" fillId="24" borderId="54" xfId="0" applyFill="1" applyBorder="1"/>
    <xf numFmtId="49" fontId="0" fillId="0" borderId="0" xfId="0" applyNumberFormat="1" applyBorder="1"/>
    <xf numFmtId="178" fontId="0" fillId="0" borderId="0" xfId="0" applyNumberFormat="1"/>
    <xf numFmtId="0" fontId="0" fillId="25" borderId="55" xfId="0" applyNumberFormat="1" applyFill="1" applyBorder="1"/>
    <xf numFmtId="0" fontId="0" fillId="25" borderId="56" xfId="0" applyNumberFormat="1" applyFill="1" applyBorder="1"/>
    <xf numFmtId="56" fontId="0" fillId="25" borderId="55" xfId="0" applyNumberFormat="1" applyFill="1" applyBorder="1"/>
    <xf numFmtId="0" fontId="0" fillId="25" borderId="56" xfId="0" applyFill="1" applyBorder="1"/>
    <xf numFmtId="56" fontId="0" fillId="25" borderId="57" xfId="0" applyNumberFormat="1" applyFill="1" applyBorder="1"/>
    <xf numFmtId="0" fontId="0" fillId="25" borderId="58" xfId="0" applyFill="1" applyBorder="1"/>
    <xf numFmtId="0" fontId="9" fillId="0" borderId="21" xfId="0" applyFont="1" applyBorder="1"/>
    <xf numFmtId="0" fontId="9" fillId="0" borderId="17" xfId="0" applyFont="1" applyBorder="1"/>
    <xf numFmtId="176" fontId="9" fillId="0" borderId="17" xfId="0" applyNumberFormat="1" applyFont="1" applyBorder="1"/>
    <xf numFmtId="0" fontId="9" fillId="0" borderId="59" xfId="0" applyFont="1" applyBorder="1"/>
    <xf numFmtId="178" fontId="0" fillId="0" borderId="50" xfId="0" applyNumberFormat="1" applyBorder="1"/>
    <xf numFmtId="178" fontId="1" fillId="0" borderId="17" xfId="0" applyNumberFormat="1" applyFont="1" applyBorder="1" applyAlignment="1">
      <alignment horizontal="center"/>
    </xf>
    <xf numFmtId="3" fontId="0" fillId="25" borderId="33" xfId="0" applyNumberFormat="1" applyFill="1" applyBorder="1"/>
    <xf numFmtId="3" fontId="0" fillId="25" borderId="60" xfId="0" applyNumberFormat="1" applyFill="1" applyBorder="1"/>
    <xf numFmtId="0" fontId="0" fillId="25" borderId="61" xfId="0" applyNumberFormat="1" applyFill="1" applyBorder="1"/>
    <xf numFmtId="178" fontId="0" fillId="0" borderId="0" xfId="0" applyNumberFormat="1" applyBorder="1" applyAlignment="1">
      <alignment horizontal="center"/>
    </xf>
    <xf numFmtId="178" fontId="0" fillId="0" borderId="62" xfId="0" applyNumberFormat="1" applyBorder="1"/>
    <xf numFmtId="3" fontId="0" fillId="0" borderId="63" xfId="0" applyNumberFormat="1" applyFill="1" applyBorder="1"/>
    <xf numFmtId="0" fontId="0" fillId="0" borderId="0" xfId="0" applyFill="1"/>
    <xf numFmtId="0" fontId="0" fillId="25" borderId="64" xfId="0" applyFill="1" applyBorder="1" applyAlignment="1"/>
    <xf numFmtId="0" fontId="0" fillId="24" borderId="65" xfId="0" applyFill="1" applyBorder="1"/>
    <xf numFmtId="0" fontId="0" fillId="25" borderId="65" xfId="0" applyFill="1" applyBorder="1"/>
    <xf numFmtId="0" fontId="0" fillId="24" borderId="66" xfId="0" applyFill="1" applyBorder="1"/>
    <xf numFmtId="0" fontId="0" fillId="25" borderId="66" xfId="0" applyFill="1" applyBorder="1"/>
    <xf numFmtId="0" fontId="0" fillId="24" borderId="37" xfId="0" applyFill="1" applyBorder="1"/>
    <xf numFmtId="0" fontId="0" fillId="25" borderId="37" xfId="0" applyFill="1" applyBorder="1"/>
    <xf numFmtId="0" fontId="0" fillId="0" borderId="15" xfId="0" applyBorder="1" applyAlignment="1">
      <alignment horizontal="center"/>
    </xf>
    <xf numFmtId="0" fontId="0" fillId="0" borderId="67" xfId="0" applyBorder="1" applyAlignment="1">
      <alignment horizontal="center"/>
    </xf>
    <xf numFmtId="3" fontId="0" fillId="25" borderId="15" xfId="0" applyNumberFormat="1" applyFill="1" applyBorder="1"/>
    <xf numFmtId="0" fontId="0" fillId="24" borderId="31" xfId="0" applyFill="1" applyBorder="1" applyAlignment="1">
      <alignment horizontal="center"/>
    </xf>
    <xf numFmtId="0" fontId="0" fillId="24" borderId="46" xfId="0" applyFill="1" applyBorder="1" applyAlignment="1">
      <alignment horizontal="center"/>
    </xf>
    <xf numFmtId="0" fontId="0" fillId="0" borderId="0" xfId="0" applyFill="1" applyBorder="1" applyAlignment="1">
      <alignment horizontal="center"/>
    </xf>
    <xf numFmtId="0" fontId="0" fillId="24" borderId="38" xfId="0" applyFill="1" applyBorder="1"/>
    <xf numFmtId="0" fontId="0" fillId="24" borderId="68" xfId="0" applyFill="1" applyBorder="1"/>
    <xf numFmtId="0" fontId="0" fillId="24" borderId="53" xfId="0" applyFill="1" applyBorder="1" applyAlignment="1">
      <alignment horizontal="center"/>
    </xf>
    <xf numFmtId="0" fontId="0" fillId="24" borderId="69" xfId="0" applyFill="1" applyBorder="1"/>
    <xf numFmtId="0" fontId="0" fillId="24" borderId="70" xfId="0" applyFill="1" applyBorder="1"/>
    <xf numFmtId="0" fontId="0" fillId="24" borderId="71" xfId="0" applyFill="1" applyBorder="1"/>
    <xf numFmtId="0" fontId="0" fillId="24" borderId="60" xfId="0" applyFill="1" applyBorder="1"/>
    <xf numFmtId="3" fontId="0" fillId="25" borderId="35" xfId="0" applyNumberFormat="1" applyFill="1" applyBorder="1"/>
    <xf numFmtId="3" fontId="0" fillId="25" borderId="72" xfId="0" applyNumberFormat="1" applyFill="1" applyBorder="1"/>
    <xf numFmtId="0" fontId="9" fillId="24" borderId="73" xfId="0" applyFont="1" applyFill="1" applyBorder="1" applyAlignment="1">
      <alignment horizontal="center"/>
    </xf>
    <xf numFmtId="0" fontId="0" fillId="25" borderId="74" xfId="0" applyNumberFormat="1" applyFill="1" applyBorder="1"/>
    <xf numFmtId="0" fontId="9" fillId="0" borderId="10" xfId="0" applyFont="1" applyBorder="1" applyAlignment="1">
      <alignment horizontal="center"/>
    </xf>
    <xf numFmtId="0" fontId="1" fillId="0" borderId="0" xfId="0" applyFont="1" applyAlignment="1">
      <alignment horizontal="centerContinuous"/>
    </xf>
    <xf numFmtId="0" fontId="0" fillId="0" borderId="0" xfId="0" applyBorder="1" applyAlignment="1">
      <alignment horizontal="center"/>
    </xf>
    <xf numFmtId="0" fontId="0" fillId="0" borderId="0" xfId="0" applyAlignment="1">
      <alignment horizontal="center"/>
    </xf>
    <xf numFmtId="0" fontId="0" fillId="24" borderId="75" xfId="0" applyFill="1" applyBorder="1" applyAlignment="1">
      <alignment horizontal="center"/>
    </xf>
    <xf numFmtId="0" fontId="0" fillId="24" borderId="76" xfId="0" applyFill="1" applyBorder="1" applyAlignment="1">
      <alignment horizontal="center"/>
    </xf>
    <xf numFmtId="0" fontId="0" fillId="0" borderId="77" xfId="0" applyBorder="1" applyAlignment="1">
      <alignment horizontal="center"/>
    </xf>
    <xf numFmtId="0" fontId="5" fillId="0" borderId="0" xfId="0" applyFont="1" applyBorder="1"/>
    <xf numFmtId="178" fontId="0" fillId="0" borderId="17" xfId="0" applyNumberFormat="1" applyBorder="1"/>
    <xf numFmtId="0" fontId="11" fillId="0" borderId="15" xfId="0" applyFont="1" applyBorder="1" applyAlignment="1">
      <alignment horizontal="center"/>
    </xf>
    <xf numFmtId="178" fontId="0" fillId="0" borderId="17" xfId="0" applyNumberFormat="1" applyBorder="1" applyAlignment="1">
      <alignment horizontal="center"/>
    </xf>
    <xf numFmtId="176" fontId="1" fillId="0" borderId="17" xfId="0" applyNumberFormat="1" applyFont="1" applyBorder="1" applyAlignment="1">
      <alignment horizontal="center"/>
    </xf>
    <xf numFmtId="3" fontId="0" fillId="0" borderId="78" xfId="0" applyNumberFormat="1" applyBorder="1" applyAlignment="1">
      <alignment horizontal="center"/>
    </xf>
    <xf numFmtId="0" fontId="0" fillId="0" borderId="17" xfId="0" applyBorder="1" applyAlignment="1">
      <alignment horizontal="left"/>
    </xf>
    <xf numFmtId="0" fontId="0" fillId="0" borderId="15" xfId="0" applyBorder="1" applyAlignment="1">
      <alignment horizontal="left"/>
    </xf>
    <xf numFmtId="0" fontId="12" fillId="0" borderId="0" xfId="0" applyFont="1" applyAlignment="1">
      <alignment horizontal="center"/>
    </xf>
    <xf numFmtId="0" fontId="0" fillId="0" borderId="79" xfId="0" applyBorder="1"/>
    <xf numFmtId="0" fontId="0" fillId="0" borderId="80" xfId="0" applyBorder="1"/>
    <xf numFmtId="178" fontId="0" fillId="0" borderId="81" xfId="0" applyNumberFormat="1" applyBorder="1"/>
    <xf numFmtId="0" fontId="9" fillId="0" borderId="0" xfId="0" applyFont="1"/>
    <xf numFmtId="0" fontId="9" fillId="0" borderId="11" xfId="0" applyFont="1" applyBorder="1"/>
    <xf numFmtId="38" fontId="11" fillId="0" borderId="82" xfId="33" applyFont="1" applyBorder="1" applyAlignment="1">
      <alignment horizontal="right" shrinkToFit="1"/>
    </xf>
    <xf numFmtId="38" fontId="11" fillId="0" borderId="83" xfId="33" applyFont="1" applyBorder="1" applyAlignment="1">
      <alignment horizontal="right" shrinkToFit="1"/>
    </xf>
    <xf numFmtId="38" fontId="11" fillId="0" borderId="21" xfId="33" applyFont="1" applyBorder="1" applyAlignment="1">
      <alignment horizontal="right" shrinkToFit="1"/>
    </xf>
    <xf numFmtId="38" fontId="11" fillId="0" borderId="59" xfId="33" applyFont="1" applyBorder="1" applyAlignment="1">
      <alignment horizontal="right" shrinkToFit="1"/>
    </xf>
    <xf numFmtId="0" fontId="0" fillId="0" borderId="84" xfId="0" applyBorder="1"/>
    <xf numFmtId="178" fontId="0" fillId="0" borderId="61" xfId="0" applyNumberFormat="1" applyBorder="1"/>
    <xf numFmtId="178" fontId="0" fillId="0" borderId="85" xfId="0" applyNumberFormat="1" applyBorder="1"/>
    <xf numFmtId="178" fontId="0" fillId="0" borderId="86" xfId="0" applyNumberFormat="1" applyBorder="1"/>
    <xf numFmtId="56" fontId="11" fillId="0" borderId="74" xfId="0" applyNumberFormat="1" applyFont="1" applyFill="1" applyBorder="1"/>
    <xf numFmtId="0" fontId="0" fillId="24" borderId="38" xfId="0" applyFill="1" applyBorder="1" applyAlignment="1">
      <alignment horizontal="center"/>
    </xf>
    <xf numFmtId="0" fontId="0" fillId="24" borderId="10" xfId="0" applyFill="1" applyBorder="1"/>
    <xf numFmtId="177" fontId="8" fillId="24" borderId="10" xfId="0" applyNumberFormat="1" applyFont="1" applyFill="1" applyBorder="1" applyAlignment="1">
      <alignment horizontal="center"/>
    </xf>
    <xf numFmtId="0" fontId="0" fillId="24" borderId="10" xfId="0" applyFill="1" applyBorder="1" applyAlignment="1">
      <alignment horizontal="distributed"/>
    </xf>
    <xf numFmtId="0" fontId="39" fillId="0" borderId="0" xfId="0" applyFont="1"/>
    <xf numFmtId="0" fontId="39" fillId="0" borderId="0" xfId="0" applyFont="1" applyAlignment="1"/>
    <xf numFmtId="0" fontId="39" fillId="0" borderId="87" xfId="0" applyFont="1" applyBorder="1"/>
    <xf numFmtId="0" fontId="39" fillId="0" borderId="88" xfId="0" applyFont="1" applyBorder="1"/>
    <xf numFmtId="0" fontId="39" fillId="0" borderId="89" xfId="0" applyFont="1" applyBorder="1" applyAlignment="1">
      <alignment horizontal="center"/>
    </xf>
    <xf numFmtId="0" fontId="39" fillId="0" borderId="88" xfId="0" applyFont="1" applyBorder="1" applyAlignment="1">
      <alignment horizontal="center"/>
    </xf>
    <xf numFmtId="0" fontId="41" fillId="0" borderId="90" xfId="0" applyFont="1" applyBorder="1" applyAlignment="1">
      <alignment horizontal="center" vertical="center"/>
    </xf>
    <xf numFmtId="0" fontId="41" fillId="0" borderId="91" xfId="0" applyFont="1" applyBorder="1" applyAlignment="1">
      <alignment horizontal="center" vertical="center"/>
    </xf>
    <xf numFmtId="0" fontId="41" fillId="0" borderId="92" xfId="0" applyFont="1" applyBorder="1" applyAlignment="1">
      <alignment horizontal="center" vertical="center"/>
    </xf>
    <xf numFmtId="0" fontId="41" fillId="0" borderId="93" xfId="0" applyFont="1" applyBorder="1" applyAlignment="1">
      <alignment horizontal="center" vertical="center"/>
    </xf>
    <xf numFmtId="0" fontId="41" fillId="0" borderId="92" xfId="0" applyFont="1" applyFill="1" applyBorder="1" applyAlignment="1">
      <alignment horizontal="center" vertical="center"/>
    </xf>
    <xf numFmtId="0" fontId="41" fillId="0" borderId="93" xfId="0" applyFont="1" applyFill="1" applyBorder="1" applyAlignment="1">
      <alignment horizontal="center" vertical="center"/>
    </xf>
    <xf numFmtId="0" fontId="39" fillId="0" borderId="0" xfId="0" applyFont="1" applyAlignment="1">
      <alignment vertical="center"/>
    </xf>
    <xf numFmtId="0" fontId="39" fillId="0" borderId="0" xfId="0" applyFont="1" applyFill="1" applyAlignment="1">
      <alignment vertical="center"/>
    </xf>
    <xf numFmtId="0" fontId="41" fillId="0" borderId="0" xfId="0" applyFont="1" applyAlignment="1">
      <alignment vertical="center"/>
    </xf>
    <xf numFmtId="0" fontId="39" fillId="0" borderId="61" xfId="0" applyFont="1" applyBorder="1" applyAlignment="1">
      <alignment vertical="center"/>
    </xf>
    <xf numFmtId="0" fontId="47" fillId="0" borderId="0" xfId="0" applyFont="1"/>
    <xf numFmtId="0" fontId="49" fillId="0" borderId="0" xfId="0" applyFont="1" applyAlignment="1">
      <alignment horizontal="left" vertical="center" shrinkToFit="1"/>
    </xf>
    <xf numFmtId="0" fontId="3" fillId="0" borderId="94" xfId="43" applyFont="1" applyFill="1" applyBorder="1" applyAlignment="1" applyProtection="1">
      <alignment vertical="center"/>
      <protection locked="0"/>
    </xf>
    <xf numFmtId="0" fontId="3" fillId="0" borderId="95" xfId="43" applyFont="1" applyFill="1" applyBorder="1" applyAlignment="1">
      <alignment vertical="center"/>
    </xf>
    <xf numFmtId="0" fontId="49" fillId="0" borderId="0" xfId="0" applyFont="1" applyAlignment="1">
      <alignment vertical="center" shrinkToFit="1"/>
    </xf>
    <xf numFmtId="0" fontId="53" fillId="0" borderId="0" xfId="0" applyFont="1" applyAlignment="1">
      <alignment horizontal="left" vertical="center" shrinkToFit="1"/>
    </xf>
    <xf numFmtId="0" fontId="49" fillId="0" borderId="0" xfId="0" applyFont="1" applyFill="1" applyAlignment="1">
      <alignment horizontal="left" vertical="center" shrinkToFit="1"/>
    </xf>
    <xf numFmtId="0" fontId="54" fillId="0" borderId="0" xfId="0" applyFont="1" applyBorder="1" applyAlignment="1">
      <alignment vertical="center" shrinkToFit="1"/>
    </xf>
    <xf numFmtId="0" fontId="49" fillId="0" borderId="0" xfId="0" applyFont="1" applyBorder="1" applyAlignment="1">
      <alignment horizontal="left" vertical="center" shrinkToFit="1"/>
    </xf>
    <xf numFmtId="0" fontId="45" fillId="0" borderId="0" xfId="0" applyFont="1" applyBorder="1" applyAlignment="1">
      <alignment vertical="center" shrinkToFit="1"/>
    </xf>
    <xf numFmtId="0" fontId="49" fillId="0" borderId="0" xfId="0" applyFont="1" applyBorder="1" applyAlignment="1">
      <alignment vertical="center" shrinkToFit="1"/>
    </xf>
    <xf numFmtId="0" fontId="55" fillId="0" borderId="0" xfId="0" applyFont="1" applyBorder="1" applyAlignment="1">
      <alignment vertical="center" shrinkToFit="1"/>
    </xf>
    <xf numFmtId="0" fontId="46" fillId="0" borderId="0" xfId="0" applyFont="1" applyBorder="1" applyAlignment="1">
      <alignment vertical="center" shrinkToFit="1"/>
    </xf>
    <xf numFmtId="0" fontId="56" fillId="0" borderId="0" xfId="0" applyFont="1" applyAlignment="1">
      <alignment vertical="center" shrinkToFit="1"/>
    </xf>
    <xf numFmtId="0" fontId="60" fillId="0" borderId="96" xfId="0" applyFont="1" applyBorder="1" applyAlignment="1">
      <alignment horizontal="center" vertical="center"/>
    </xf>
    <xf numFmtId="0" fontId="60" fillId="0" borderId="97" xfId="0" applyFont="1" applyBorder="1" applyAlignment="1">
      <alignment horizontal="center" vertical="center"/>
    </xf>
    <xf numFmtId="0" fontId="60" fillId="0" borderId="98" xfId="0" applyFont="1" applyBorder="1" applyAlignment="1">
      <alignment horizontal="center" vertical="center"/>
    </xf>
    <xf numFmtId="0" fontId="60" fillId="0" borderId="99" xfId="0" applyFont="1" applyBorder="1" applyAlignment="1">
      <alignment horizontal="right" vertical="center"/>
    </xf>
    <xf numFmtId="0" fontId="60" fillId="0" borderId="100" xfId="0" applyFont="1" applyBorder="1" applyAlignment="1">
      <alignment horizontal="right" vertical="center"/>
    </xf>
    <xf numFmtId="0" fontId="60" fillId="0" borderId="101" xfId="0" applyFont="1" applyBorder="1"/>
    <xf numFmtId="0" fontId="60" fillId="0" borderId="12" xfId="0" applyFont="1" applyBorder="1"/>
    <xf numFmtId="0" fontId="60" fillId="0" borderId="72" xfId="0" applyFont="1" applyBorder="1"/>
    <xf numFmtId="0" fontId="60" fillId="0" borderId="28" xfId="0" applyFont="1" applyBorder="1"/>
    <xf numFmtId="0" fontId="58" fillId="0" borderId="0" xfId="0" applyFont="1" applyBorder="1" applyAlignment="1">
      <alignment horizontal="left" vertical="center"/>
    </xf>
    <xf numFmtId="0" fontId="58" fillId="0" borderId="84" xfId="0" applyFont="1" applyBorder="1" applyAlignment="1">
      <alignment horizontal="left" vertical="center"/>
    </xf>
    <xf numFmtId="0" fontId="58" fillId="0" borderId="12" xfId="0" applyFont="1" applyBorder="1"/>
    <xf numFmtId="0" fontId="58" fillId="0" borderId="0" xfId="0" applyFont="1" applyBorder="1"/>
    <xf numFmtId="0" fontId="58" fillId="0" borderId="0" xfId="0" applyFont="1" applyBorder="1" applyAlignment="1">
      <alignment vertical="center"/>
    </xf>
    <xf numFmtId="0" fontId="0" fillId="0" borderId="12" xfId="0" applyBorder="1" applyAlignment="1">
      <alignment horizontal="left" vertical="center"/>
    </xf>
    <xf numFmtId="0" fontId="0" fillId="0" borderId="0" xfId="0" applyBorder="1" applyAlignment="1">
      <alignment horizontal="left" vertical="center"/>
    </xf>
    <xf numFmtId="0" fontId="0" fillId="0" borderId="84"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30" xfId="0" applyBorder="1" applyAlignment="1">
      <alignment horizontal="left" vertical="center"/>
    </xf>
    <xf numFmtId="0" fontId="0" fillId="0" borderId="72" xfId="0" applyBorder="1"/>
    <xf numFmtId="0" fontId="58" fillId="0" borderId="79" xfId="0" applyFont="1" applyBorder="1" applyAlignment="1">
      <alignment vertical="center"/>
    </xf>
    <xf numFmtId="0" fontId="58" fillId="0" borderId="11" xfId="0" applyFont="1" applyBorder="1" applyAlignment="1">
      <alignment vertical="center"/>
    </xf>
    <xf numFmtId="0" fontId="58" fillId="0" borderId="11" xfId="0" applyFont="1" applyBorder="1"/>
    <xf numFmtId="0" fontId="58" fillId="0" borderId="82" xfId="0" applyFont="1" applyBorder="1"/>
    <xf numFmtId="0" fontId="58" fillId="0" borderId="84" xfId="0" applyFont="1" applyBorder="1"/>
    <xf numFmtId="0" fontId="58" fillId="0" borderId="28" xfId="0" applyFont="1" applyBorder="1"/>
    <xf numFmtId="0" fontId="58" fillId="0" borderId="29" xfId="0" applyFont="1" applyBorder="1"/>
    <xf numFmtId="0" fontId="58" fillId="0" borderId="29" xfId="0" applyFont="1" applyBorder="1" applyAlignment="1">
      <alignment vertical="center"/>
    </xf>
    <xf numFmtId="0" fontId="58" fillId="0" borderId="30" xfId="0" applyFont="1" applyBorder="1"/>
    <xf numFmtId="0" fontId="0" fillId="0" borderId="0" xfId="0" applyAlignment="1">
      <alignment vertical="center"/>
    </xf>
    <xf numFmtId="0" fontId="19" fillId="0" borderId="0" xfId="0" applyFont="1" applyAlignment="1">
      <alignment vertical="center"/>
    </xf>
    <xf numFmtId="14" fontId="0" fillId="0" borderId="0" xfId="0" applyNumberFormat="1"/>
    <xf numFmtId="0" fontId="48" fillId="0" borderId="0" xfId="0" applyFont="1"/>
    <xf numFmtId="0" fontId="0" fillId="26" borderId="75" xfId="0" applyFill="1" applyBorder="1" applyAlignment="1">
      <alignment horizontal="center" vertical="center"/>
    </xf>
    <xf numFmtId="176" fontId="0" fillId="0" borderId="102" xfId="0" applyNumberFormat="1" applyBorder="1" applyAlignment="1">
      <alignment horizontal="center" vertical="center"/>
    </xf>
    <xf numFmtId="176" fontId="0" fillId="0" borderId="102" xfId="0" applyNumberFormat="1" applyFill="1" applyBorder="1" applyAlignment="1">
      <alignment horizontal="center" vertical="center"/>
    </xf>
    <xf numFmtId="176" fontId="0" fillId="0" borderId="78" xfId="0" applyNumberFormat="1" applyFill="1" applyBorder="1" applyAlignment="1">
      <alignment horizontal="center" vertical="center"/>
    </xf>
    <xf numFmtId="0" fontId="0" fillId="0" borderId="11" xfId="0" applyBorder="1" applyAlignment="1">
      <alignment vertical="center"/>
    </xf>
    <xf numFmtId="0" fontId="0" fillId="0" borderId="79" xfId="0" applyBorder="1" applyAlignment="1">
      <alignment vertical="center"/>
    </xf>
    <xf numFmtId="0" fontId="0" fillId="0" borderId="82" xfId="0" applyBorder="1" applyAlignment="1">
      <alignment vertical="center"/>
    </xf>
    <xf numFmtId="0" fontId="0" fillId="0" borderId="12" xfId="0" applyBorder="1" applyAlignment="1">
      <alignment vertical="center"/>
    </xf>
    <xf numFmtId="0" fontId="48" fillId="0" borderId="12" xfId="0" applyFont="1" applyBorder="1" applyAlignment="1">
      <alignment vertical="center"/>
    </xf>
    <xf numFmtId="0" fontId="0" fillId="0" borderId="0" xfId="0" applyBorder="1" applyAlignment="1">
      <alignment vertical="center"/>
    </xf>
    <xf numFmtId="0" fontId="0" fillId="0" borderId="82" xfId="0" applyBorder="1"/>
    <xf numFmtId="0" fontId="0" fillId="0" borderId="98" xfId="0" applyBorder="1" applyAlignment="1">
      <alignment horizontal="center" vertical="center"/>
    </xf>
    <xf numFmtId="0" fontId="41" fillId="28" borderId="92" xfId="0" applyFont="1" applyFill="1" applyBorder="1" applyAlignment="1">
      <alignment horizontal="center" vertical="center"/>
    </xf>
    <xf numFmtId="0" fontId="41" fillId="28" borderId="93" xfId="0" applyFont="1" applyFill="1" applyBorder="1" applyAlignment="1">
      <alignment horizontal="center" vertical="center"/>
    </xf>
    <xf numFmtId="0" fontId="41" fillId="29" borderId="103" xfId="0" applyFont="1" applyFill="1" applyBorder="1" applyAlignment="1">
      <alignment horizontal="center" vertical="center"/>
    </xf>
    <xf numFmtId="0" fontId="41" fillId="29" borderId="61" xfId="0" applyFont="1" applyFill="1" applyBorder="1" applyAlignment="1">
      <alignment horizontal="center" vertical="center"/>
    </xf>
    <xf numFmtId="0" fontId="0" fillId="0" borderId="12" xfId="0" applyFont="1" applyBorder="1" applyAlignment="1">
      <alignment horizontal="left"/>
    </xf>
    <xf numFmtId="0" fontId="0" fillId="24" borderId="50" xfId="0" applyFill="1" applyBorder="1" applyAlignment="1">
      <alignment shrinkToFit="1"/>
    </xf>
    <xf numFmtId="0" fontId="0" fillId="0" borderId="104" xfId="0" applyNumberFormat="1" applyFill="1" applyBorder="1"/>
    <xf numFmtId="0" fontId="0" fillId="0" borderId="61" xfId="0" applyFill="1" applyBorder="1"/>
    <xf numFmtId="3" fontId="0" fillId="0" borderId="15" xfId="0" applyNumberFormat="1" applyFill="1" applyBorder="1"/>
    <xf numFmtId="0" fontId="0" fillId="0" borderId="66" xfId="0" applyFill="1" applyBorder="1" applyAlignment="1">
      <alignment horizontal="center"/>
    </xf>
    <xf numFmtId="0" fontId="0" fillId="0" borderId="38" xfId="0" applyFill="1" applyBorder="1" applyAlignment="1">
      <alignment horizontal="center"/>
    </xf>
    <xf numFmtId="3" fontId="0" fillId="0" borderId="37" xfId="0" applyNumberFormat="1" applyFill="1" applyBorder="1"/>
    <xf numFmtId="0" fontId="0" fillId="0" borderId="105" xfId="0" applyFill="1" applyBorder="1" applyAlignment="1">
      <alignment horizontal="center"/>
    </xf>
    <xf numFmtId="3" fontId="0" fillId="0" borderId="37" xfId="0" applyNumberFormat="1" applyFill="1" applyBorder="1" applyAlignment="1">
      <alignment horizontal="right"/>
    </xf>
    <xf numFmtId="3" fontId="0" fillId="0" borderId="35" xfId="0" applyNumberFormat="1" applyFill="1" applyBorder="1"/>
    <xf numFmtId="3" fontId="0" fillId="0" borderId="106" xfId="0" applyNumberFormat="1" applyFill="1" applyBorder="1"/>
    <xf numFmtId="0" fontId="0" fillId="29" borderId="13" xfId="0" applyFill="1" applyBorder="1"/>
    <xf numFmtId="0" fontId="0" fillId="29" borderId="19" xfId="0" applyFill="1" applyBorder="1"/>
    <xf numFmtId="0" fontId="0" fillId="29" borderId="14" xfId="0" applyFill="1" applyBorder="1"/>
    <xf numFmtId="178" fontId="0" fillId="29" borderId="62" xfId="0" applyNumberFormat="1" applyFill="1" applyBorder="1"/>
    <xf numFmtId="194" fontId="71" fillId="29" borderId="0" xfId="0" applyNumberFormat="1" applyFont="1" applyFill="1" applyBorder="1" applyAlignment="1">
      <alignment horizontal="center"/>
    </xf>
    <xf numFmtId="194" fontId="0" fillId="0" borderId="0" xfId="0" applyNumberFormat="1"/>
    <xf numFmtId="185" fontId="5" fillId="0" borderId="10" xfId="0" applyNumberFormat="1" applyFont="1" applyBorder="1" applyAlignment="1">
      <alignment horizontal="center"/>
    </xf>
    <xf numFmtId="0" fontId="67" fillId="0" borderId="0" xfId="0" applyFont="1"/>
    <xf numFmtId="178" fontId="5" fillId="0" borderId="10" xfId="0" applyNumberFormat="1" applyFont="1" applyBorder="1" applyAlignment="1">
      <alignment horizontal="center" shrinkToFit="1"/>
    </xf>
    <xf numFmtId="178" fontId="0" fillId="0" borderId="10" xfId="0" applyNumberFormat="1" applyBorder="1" applyAlignment="1">
      <alignment horizontal="center" shrinkToFit="1"/>
    </xf>
    <xf numFmtId="0" fontId="72" fillId="0" borderId="72" xfId="0" applyFont="1" applyBorder="1" applyAlignment="1">
      <alignment vertical="center"/>
    </xf>
    <xf numFmtId="0" fontId="72" fillId="0" borderId="10" xfId="0" applyFont="1" applyBorder="1" applyAlignment="1">
      <alignment vertical="center"/>
    </xf>
    <xf numFmtId="0" fontId="72" fillId="0" borderId="59" xfId="0" applyFont="1" applyBorder="1" applyAlignment="1">
      <alignment vertical="center"/>
    </xf>
    <xf numFmtId="0" fontId="73" fillId="29" borderId="15" xfId="0" applyFont="1" applyFill="1" applyBorder="1"/>
    <xf numFmtId="0" fontId="73" fillId="29" borderId="17" xfId="0" applyFont="1" applyFill="1" applyBorder="1"/>
    <xf numFmtId="0" fontId="73" fillId="29" borderId="16" xfId="0" applyFont="1" applyFill="1" applyBorder="1"/>
    <xf numFmtId="178" fontId="73" fillId="29" borderId="50" xfId="0" applyNumberFormat="1" applyFont="1" applyFill="1" applyBorder="1"/>
    <xf numFmtId="178" fontId="0" fillId="0" borderId="50" xfId="0" applyNumberFormat="1" applyBorder="1" applyAlignment="1">
      <alignment horizontal="right"/>
    </xf>
    <xf numFmtId="178" fontId="0" fillId="0" borderId="50" xfId="0" applyNumberFormat="1" applyBorder="1" applyAlignment="1">
      <alignment horizontal="right" shrinkToFit="1"/>
    </xf>
    <xf numFmtId="0" fontId="7" fillId="0" borderId="15" xfId="0" applyFont="1" applyBorder="1" applyAlignment="1">
      <alignment horizontal="center"/>
    </xf>
    <xf numFmtId="0" fontId="48" fillId="0" borderId="17" xfId="0" applyFont="1" applyBorder="1"/>
    <xf numFmtId="0" fontId="69" fillId="0" borderId="17" xfId="0" applyFont="1" applyBorder="1"/>
    <xf numFmtId="0" fontId="48" fillId="0" borderId="0" xfId="0" applyFont="1" applyFill="1" applyBorder="1"/>
    <xf numFmtId="0" fontId="48" fillId="0" borderId="12" xfId="0" applyFont="1" applyBorder="1"/>
    <xf numFmtId="178" fontId="74" fillId="29" borderId="62" xfId="0" applyNumberFormat="1" applyFont="1" applyFill="1" applyBorder="1" applyAlignment="1">
      <alignment horizontal="center"/>
    </xf>
    <xf numFmtId="0" fontId="75" fillId="28" borderId="16" xfId="0" applyFont="1" applyFill="1" applyBorder="1"/>
    <xf numFmtId="0" fontId="75" fillId="28" borderId="17" xfId="0" applyFont="1" applyFill="1" applyBorder="1"/>
    <xf numFmtId="0" fontId="76" fillId="28" borderId="15" xfId="0" applyFont="1" applyFill="1" applyBorder="1"/>
    <xf numFmtId="178" fontId="76" fillId="28" borderId="50" xfId="0" applyNumberFormat="1" applyFont="1" applyFill="1" applyBorder="1"/>
    <xf numFmtId="178" fontId="77" fillId="29" borderId="50" xfId="0" applyNumberFormat="1" applyFont="1" applyFill="1" applyBorder="1" applyAlignment="1">
      <alignment horizontal="right"/>
    </xf>
    <xf numFmtId="186" fontId="0" fillId="0" borderId="15" xfId="0" applyNumberFormat="1" applyBorder="1" applyAlignment="1"/>
    <xf numFmtId="186" fontId="0" fillId="0" borderId="17" xfId="0" applyNumberFormat="1" applyBorder="1" applyAlignment="1"/>
    <xf numFmtId="186" fontId="0" fillId="0" borderId="21" xfId="0" applyNumberFormat="1" applyBorder="1" applyAlignment="1"/>
    <xf numFmtId="186" fontId="48" fillId="0" borderId="34" xfId="0" applyNumberFormat="1" applyFont="1" applyBorder="1" applyAlignment="1"/>
    <xf numFmtId="186" fontId="48" fillId="0" borderId="87" xfId="0" applyNumberFormat="1" applyFont="1" applyBorder="1" applyAlignment="1"/>
    <xf numFmtId="186" fontId="48" fillId="0" borderId="107" xfId="0" applyNumberFormat="1" applyFont="1" applyBorder="1" applyAlignment="1"/>
    <xf numFmtId="0" fontId="3" fillId="0" borderId="0" xfId="0" applyFont="1" applyFill="1" applyBorder="1"/>
    <xf numFmtId="178" fontId="78" fillId="29" borderId="32" xfId="0" applyNumberFormat="1" applyFont="1" applyFill="1" applyBorder="1"/>
    <xf numFmtId="0" fontId="70" fillId="0" borderId="17" xfId="0" applyFont="1" applyBorder="1"/>
    <xf numFmtId="177" fontId="18" fillId="24" borderId="10" xfId="0" applyNumberFormat="1" applyFont="1" applyFill="1" applyBorder="1" applyAlignment="1">
      <alignment horizontal="center"/>
    </xf>
    <xf numFmtId="178" fontId="5" fillId="0" borderId="15" xfId="0" applyNumberFormat="1" applyFont="1" applyBorder="1"/>
    <xf numFmtId="0" fontId="0" fillId="0" borderId="12" xfId="0" applyFont="1" applyBorder="1"/>
    <xf numFmtId="0" fontId="7" fillId="0" borderId="15" xfId="0" applyFont="1" applyBorder="1"/>
    <xf numFmtId="0" fontId="0" fillId="0" borderId="52" xfId="0" applyFill="1" applyBorder="1" applyAlignment="1">
      <alignment horizontal="center"/>
    </xf>
    <xf numFmtId="0" fontId="0" fillId="0" borderId="53" xfId="0" applyFill="1" applyBorder="1" applyAlignment="1">
      <alignment horizontal="center"/>
    </xf>
    <xf numFmtId="0" fontId="7" fillId="0" borderId="54" xfId="0" applyFont="1" applyFill="1" applyBorder="1" applyAlignment="1">
      <alignment horizontal="center"/>
    </xf>
    <xf numFmtId="0" fontId="7" fillId="0" borderId="108" xfId="0" applyFont="1" applyFill="1" applyBorder="1" applyAlignment="1">
      <alignment horizontal="center"/>
    </xf>
    <xf numFmtId="58" fontId="0" fillId="0" borderId="66" xfId="0" applyNumberFormat="1" applyBorder="1" applyAlignment="1">
      <alignment horizontal="center"/>
    </xf>
    <xf numFmtId="5" fontId="0" fillId="0" borderId="37" xfId="0" applyNumberFormat="1" applyBorder="1" applyAlignment="1">
      <alignment horizontal="center"/>
    </xf>
    <xf numFmtId="6" fontId="0" fillId="0" borderId="38" xfId="41" applyFont="1" applyBorder="1" applyAlignment="1">
      <alignment horizontal="center"/>
    </xf>
    <xf numFmtId="49" fontId="0" fillId="0" borderId="109" xfId="0" applyNumberFormat="1" applyBorder="1" applyAlignment="1">
      <alignment horizontal="center"/>
    </xf>
    <xf numFmtId="49" fontId="0" fillId="0" borderId="53" xfId="0" applyNumberFormat="1" applyBorder="1" applyAlignment="1">
      <alignment horizontal="center"/>
    </xf>
    <xf numFmtId="0" fontId="0" fillId="0" borderId="15" xfId="0" applyFill="1" applyBorder="1" applyAlignment="1"/>
    <xf numFmtId="0" fontId="0" fillId="0" borderId="16" xfId="0" applyFill="1" applyBorder="1" applyAlignment="1"/>
    <xf numFmtId="186" fontId="0" fillId="0" borderId="15" xfId="0" applyNumberFormat="1" applyFont="1" applyBorder="1" applyAlignment="1">
      <alignment horizontal="right"/>
    </xf>
    <xf numFmtId="186" fontId="0" fillId="0" borderId="17" xfId="0" applyNumberFormat="1" applyFont="1" applyBorder="1" applyAlignment="1">
      <alignment horizontal="right"/>
    </xf>
    <xf numFmtId="186" fontId="0" fillId="0" borderId="21" xfId="0" applyNumberFormat="1" applyFont="1" applyBorder="1" applyAlignment="1">
      <alignment horizontal="right"/>
    </xf>
    <xf numFmtId="186" fontId="0" fillId="0" borderId="15" xfId="0" applyNumberFormat="1" applyBorder="1" applyAlignment="1">
      <alignment horizontal="right"/>
    </xf>
    <xf numFmtId="186" fontId="0" fillId="0" borderId="17" xfId="0" applyNumberFormat="1" applyBorder="1" applyAlignment="1">
      <alignment horizontal="right"/>
    </xf>
    <xf numFmtId="186" fontId="0" fillId="0" borderId="21" xfId="0" applyNumberFormat="1" applyBorder="1" applyAlignment="1">
      <alignment horizontal="right"/>
    </xf>
    <xf numFmtId="0" fontId="4" fillId="0" borderId="23" xfId="0" applyFont="1" applyBorder="1" applyAlignment="1">
      <alignment horizontal="center"/>
    </xf>
    <xf numFmtId="0" fontId="4" fillId="0" borderId="24" xfId="0" applyFont="1" applyBorder="1" applyAlignment="1">
      <alignment horizontal="center"/>
    </xf>
    <xf numFmtId="0" fontId="4" fillId="0" borderId="63" xfId="0" applyFont="1" applyBorder="1" applyAlignment="1">
      <alignment horizontal="center"/>
    </xf>
    <xf numFmtId="186" fontId="1" fillId="0" borderId="15" xfId="0" applyNumberFormat="1" applyFont="1" applyBorder="1" applyAlignment="1">
      <alignment horizontal="right"/>
    </xf>
    <xf numFmtId="186" fontId="1" fillId="0" borderId="17" xfId="0" applyNumberFormat="1" applyFont="1" applyBorder="1" applyAlignment="1">
      <alignment horizontal="right"/>
    </xf>
    <xf numFmtId="186" fontId="1" fillId="0" borderId="21" xfId="0" applyNumberFormat="1" applyFont="1" applyBorder="1" applyAlignment="1">
      <alignment horizontal="right"/>
    </xf>
    <xf numFmtId="202" fontId="0" fillId="0" borderId="15" xfId="0" applyNumberFormat="1" applyFont="1" applyBorder="1" applyAlignment="1">
      <alignment horizontal="right"/>
    </xf>
    <xf numFmtId="202" fontId="0" fillId="0" borderId="17" xfId="0" applyNumberFormat="1" applyFont="1" applyBorder="1" applyAlignment="1">
      <alignment horizontal="right"/>
    </xf>
    <xf numFmtId="202" fontId="0" fillId="0" borderId="21" xfId="0" applyNumberFormat="1" applyFont="1" applyBorder="1" applyAlignment="1">
      <alignment horizontal="right"/>
    </xf>
    <xf numFmtId="178" fontId="0" fillId="0" borderId="15" xfId="0" applyNumberFormat="1" applyBorder="1" applyAlignment="1">
      <alignment horizontal="right"/>
    </xf>
    <xf numFmtId="178" fontId="0" fillId="0" borderId="17" xfId="0" applyNumberFormat="1" applyBorder="1" applyAlignment="1">
      <alignment horizontal="right"/>
    </xf>
    <xf numFmtId="178" fontId="0" fillId="0" borderId="21" xfId="0" applyNumberFormat="1" applyBorder="1" applyAlignment="1">
      <alignment horizontal="right"/>
    </xf>
    <xf numFmtId="178" fontId="10" fillId="0" borderId="10" xfId="0" applyNumberFormat="1" applyFont="1" applyBorder="1" applyAlignment="1">
      <alignment horizontal="center" shrinkToFit="1"/>
    </xf>
    <xf numFmtId="178" fontId="0" fillId="0" borderId="10" xfId="0" applyNumberFormat="1" applyBorder="1" applyAlignment="1">
      <alignment horizontal="center" shrinkToFit="1"/>
    </xf>
    <xf numFmtId="0" fontId="79" fillId="29" borderId="25" xfId="0" applyFont="1" applyFill="1" applyBorder="1" applyAlignment="1">
      <alignment horizontal="center" vertical="center"/>
    </xf>
    <xf numFmtId="0" fontId="79" fillId="29" borderId="18" xfId="0" applyFont="1" applyFill="1" applyBorder="1" applyAlignment="1">
      <alignment horizontal="center" vertical="center"/>
    </xf>
    <xf numFmtId="0" fontId="79" fillId="29" borderId="108" xfId="0" applyFont="1" applyFill="1" applyBorder="1" applyAlignment="1">
      <alignment horizontal="center" vertical="center"/>
    </xf>
    <xf numFmtId="0" fontId="79" fillId="29" borderId="110" xfId="0" applyFont="1" applyFill="1" applyBorder="1" applyAlignment="1">
      <alignment horizontal="center" vertical="center"/>
    </xf>
    <xf numFmtId="0" fontId="79" fillId="29" borderId="111" xfId="0" applyFont="1" applyFill="1" applyBorder="1" applyAlignment="1">
      <alignment horizontal="center" vertical="center"/>
    </xf>
    <xf numFmtId="0" fontId="79" fillId="29" borderId="112" xfId="0" applyFont="1" applyFill="1" applyBorder="1" applyAlignment="1">
      <alignment horizontal="center" vertical="center"/>
    </xf>
    <xf numFmtId="178" fontId="80" fillId="29" borderId="113" xfId="0" applyNumberFormat="1" applyFont="1" applyFill="1" applyBorder="1" applyAlignment="1">
      <alignment horizontal="center" vertical="center"/>
    </xf>
    <xf numFmtId="178" fontId="80" fillId="29" borderId="48" xfId="0" applyNumberFormat="1" applyFont="1" applyFill="1" applyBorder="1" applyAlignment="1">
      <alignment horizontal="center" vertical="center"/>
    </xf>
    <xf numFmtId="0" fontId="77" fillId="29" borderId="15" xfId="0" applyFont="1" applyFill="1" applyBorder="1" applyAlignment="1">
      <alignment horizontal="center"/>
    </xf>
    <xf numFmtId="0" fontId="77" fillId="29" borderId="17" xfId="0" applyFont="1" applyFill="1" applyBorder="1" applyAlignment="1">
      <alignment horizontal="center"/>
    </xf>
    <xf numFmtId="0" fontId="77" fillId="29" borderId="16" xfId="0" applyFont="1" applyFill="1" applyBorder="1" applyAlignment="1">
      <alignment horizontal="center"/>
    </xf>
    <xf numFmtId="0" fontId="0" fillId="0" borderId="13"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5" xfId="0" applyBorder="1" applyAlignment="1">
      <alignment horizontal="right"/>
    </xf>
    <xf numFmtId="0" fontId="0" fillId="0" borderId="17" xfId="0" applyBorder="1" applyAlignment="1">
      <alignment horizontal="right"/>
    </xf>
    <xf numFmtId="0" fontId="0" fillId="0" borderId="21" xfId="0" applyBorder="1" applyAlignment="1">
      <alignment horizontal="right"/>
    </xf>
    <xf numFmtId="0" fontId="0" fillId="0" borderId="34" xfId="0" applyBorder="1" applyAlignment="1">
      <alignment horizontal="left"/>
    </xf>
    <xf numFmtId="0" fontId="0" fillId="0" borderId="87" xfId="0" applyBorder="1" applyAlignment="1">
      <alignment horizontal="left"/>
    </xf>
    <xf numFmtId="0" fontId="0" fillId="0" borderId="105" xfId="0" applyBorder="1" applyAlignment="1">
      <alignment horizontal="left"/>
    </xf>
    <xf numFmtId="0" fontId="0" fillId="0" borderId="15" xfId="0" applyBorder="1" applyAlignment="1">
      <alignment horizontal="center"/>
    </xf>
    <xf numFmtId="0" fontId="0" fillId="0" borderId="17" xfId="0" applyBorder="1" applyAlignment="1">
      <alignment horizontal="center"/>
    </xf>
    <xf numFmtId="0" fontId="0" fillId="0" borderId="21" xfId="0" applyBorder="1" applyAlignment="1">
      <alignment horizontal="center"/>
    </xf>
    <xf numFmtId="0" fontId="48" fillId="0" borderId="34" xfId="0" applyFont="1" applyBorder="1" applyAlignment="1">
      <alignment horizontal="center"/>
    </xf>
    <xf numFmtId="0" fontId="48" fillId="0" borderId="87" xfId="0" applyFont="1" applyBorder="1" applyAlignment="1">
      <alignment horizontal="center"/>
    </xf>
    <xf numFmtId="0" fontId="48" fillId="0" borderId="107" xfId="0" applyFont="1" applyBorder="1" applyAlignment="1">
      <alignment horizontal="center"/>
    </xf>
    <xf numFmtId="176" fontId="73" fillId="29" borderId="15" xfId="0" applyNumberFormat="1" applyFont="1" applyFill="1" applyBorder="1" applyAlignment="1">
      <alignment horizontal="center"/>
    </xf>
    <xf numFmtId="176" fontId="73" fillId="29" borderId="17" xfId="0" applyNumberFormat="1" applyFont="1" applyFill="1" applyBorder="1" applyAlignment="1">
      <alignment horizontal="center"/>
    </xf>
    <xf numFmtId="176" fontId="73" fillId="29" borderId="21" xfId="0" applyNumberFormat="1" applyFont="1" applyFill="1" applyBorder="1" applyAlignment="1">
      <alignment horizontal="center"/>
    </xf>
    <xf numFmtId="0" fontId="0" fillId="0" borderId="94" xfId="0" applyBorder="1" applyAlignment="1">
      <alignment horizontal="center" vertical="center"/>
    </xf>
    <xf numFmtId="0" fontId="0" fillId="0" borderId="17" xfId="0" applyBorder="1" applyAlignment="1">
      <alignment horizontal="center" vertical="center"/>
    </xf>
    <xf numFmtId="0" fontId="0" fillId="0" borderId="95" xfId="0" applyBorder="1" applyAlignment="1">
      <alignment horizontal="center" vertical="center"/>
    </xf>
    <xf numFmtId="0" fontId="63" fillId="0" borderId="0" xfId="0" applyFont="1" applyFill="1" applyBorder="1" applyAlignment="1">
      <alignment horizontal="center" vertical="center"/>
    </xf>
    <xf numFmtId="58" fontId="0" fillId="0" borderId="0" xfId="0" applyNumberFormat="1" applyAlignment="1">
      <alignment horizontal="center" vertical="center"/>
    </xf>
    <xf numFmtId="0" fontId="0" fillId="0" borderId="86" xfId="0" applyFill="1" applyBorder="1" applyAlignment="1">
      <alignment horizontal="left" vertical="center"/>
    </xf>
    <xf numFmtId="38" fontId="0" fillId="0" borderId="86" xfId="33" applyFont="1" applyFill="1" applyBorder="1" applyAlignment="1">
      <alignment vertical="center"/>
    </xf>
    <xf numFmtId="38" fontId="0" fillId="0" borderId="77" xfId="33" applyFont="1" applyFill="1" applyBorder="1" applyAlignment="1">
      <alignment vertical="center"/>
    </xf>
    <xf numFmtId="0" fontId="0" fillId="0" borderId="0" xfId="0" applyAlignment="1">
      <alignment horizontal="center" vertical="center"/>
    </xf>
    <xf numFmtId="0" fontId="0" fillId="0" borderId="61" xfId="0" applyFill="1" applyBorder="1" applyAlignment="1">
      <alignment horizontal="left" vertical="center"/>
    </xf>
    <xf numFmtId="6" fontId="0" fillId="0" borderId="61" xfId="33" applyNumberFormat="1" applyFont="1" applyBorder="1" applyAlignment="1">
      <alignment vertical="center"/>
    </xf>
    <xf numFmtId="6" fontId="0" fillId="0" borderId="115" xfId="33" applyNumberFormat="1" applyFont="1" applyBorder="1" applyAlignment="1">
      <alignment vertical="center"/>
    </xf>
    <xf numFmtId="38" fontId="0" fillId="0" borderId="61" xfId="33" applyFont="1" applyFill="1" applyBorder="1" applyAlignment="1">
      <alignment vertical="center"/>
    </xf>
    <xf numFmtId="38" fontId="0" fillId="0" borderId="115" xfId="33" applyFont="1" applyFill="1" applyBorder="1" applyAlignment="1">
      <alignment vertical="center"/>
    </xf>
    <xf numFmtId="0" fontId="64" fillId="0" borderId="0" xfId="0" applyFont="1" applyBorder="1" applyAlignment="1">
      <alignment horizontal="center" vertical="center"/>
    </xf>
    <xf numFmtId="0" fontId="64" fillId="0" borderId="29" xfId="0" applyFont="1" applyBorder="1" applyAlignment="1">
      <alignment horizontal="center" vertical="center"/>
    </xf>
    <xf numFmtId="6" fontId="64" fillId="0" borderId="0" xfId="0" applyNumberFormat="1" applyFont="1" applyBorder="1" applyAlignment="1">
      <alignment vertical="center"/>
    </xf>
    <xf numFmtId="0" fontId="64" fillId="0" borderId="0" xfId="0" applyFont="1" applyBorder="1" applyAlignment="1">
      <alignment vertical="center"/>
    </xf>
    <xf numFmtId="0" fontId="64" fillId="0" borderId="29" xfId="0" applyFont="1" applyBorder="1" applyAlignment="1">
      <alignment vertical="center"/>
    </xf>
    <xf numFmtId="0" fontId="6" fillId="0" borderId="12" xfId="0" applyFont="1" applyBorder="1" applyAlignment="1">
      <alignment horizontal="center" vertical="center" wrapText="1"/>
    </xf>
    <xf numFmtId="0" fontId="6" fillId="0" borderId="0" xfId="0" applyFont="1" applyBorder="1" applyAlignment="1">
      <alignment horizontal="center" vertical="center"/>
    </xf>
    <xf numFmtId="0" fontId="6" fillId="0" borderId="84" xfId="0" applyFont="1" applyBorder="1" applyAlignment="1">
      <alignment horizontal="center" vertical="center"/>
    </xf>
    <xf numFmtId="0" fontId="6" fillId="0" borderId="12"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0" fillId="26" borderId="85" xfId="0" applyFill="1" applyBorder="1" applyAlignment="1">
      <alignment horizontal="center" vertical="center"/>
    </xf>
    <xf numFmtId="0" fontId="0" fillId="26" borderId="114" xfId="0" applyFill="1" applyBorder="1" applyAlignment="1">
      <alignment horizontal="center" vertical="center"/>
    </xf>
    <xf numFmtId="0" fontId="0" fillId="26" borderId="20" xfId="0" applyFill="1" applyBorder="1" applyAlignment="1">
      <alignment horizontal="center" vertical="center"/>
    </xf>
    <xf numFmtId="0" fontId="50" fillId="0" borderId="0" xfId="0" applyFont="1" applyAlignment="1">
      <alignment horizontal="center" vertical="center" shrinkToFit="1"/>
    </xf>
    <xf numFmtId="0" fontId="49" fillId="0" borderId="0" xfId="0" applyFont="1" applyAlignment="1">
      <alignment horizontal="left" vertical="center" shrinkToFit="1"/>
    </xf>
    <xf numFmtId="0" fontId="3" fillId="0" borderId="94" xfId="43" applyFont="1" applyBorder="1" applyAlignment="1">
      <alignment horizontal="center" vertical="center"/>
    </xf>
    <xf numFmtId="0" fontId="3" fillId="0" borderId="17" xfId="43" applyFont="1" applyBorder="1" applyAlignment="1">
      <alignment horizontal="center" vertical="center"/>
    </xf>
    <xf numFmtId="0" fontId="3" fillId="0" borderId="95" xfId="43" applyFont="1" applyBorder="1" applyAlignment="1">
      <alignment horizontal="center" vertical="center"/>
    </xf>
    <xf numFmtId="0" fontId="3" fillId="0" borderId="61" xfId="43" applyFont="1" applyFill="1" applyBorder="1" applyAlignment="1" applyProtection="1">
      <alignment horizontal="center" vertical="center"/>
      <protection locked="0"/>
    </xf>
    <xf numFmtId="0" fontId="3" fillId="0" borderId="61" xfId="43" applyFont="1" applyFill="1" applyBorder="1" applyAlignment="1">
      <alignment horizontal="center" vertical="center" shrinkToFit="1"/>
    </xf>
    <xf numFmtId="0" fontId="51" fillId="0" borderId="0" xfId="0" applyFont="1" applyAlignment="1">
      <alignment horizontal="left" vertical="center" shrinkToFit="1"/>
    </xf>
    <xf numFmtId="0" fontId="57" fillId="0" borderId="0" xfId="0" applyFont="1" applyAlignment="1">
      <alignment horizontal="center" vertical="center" shrinkToFit="1"/>
    </xf>
    <xf numFmtId="0" fontId="43" fillId="0" borderId="0" xfId="0" applyFont="1" applyAlignment="1">
      <alignment horizontal="center" vertical="center" shrinkToFit="1"/>
    </xf>
    <xf numFmtId="0" fontId="53" fillId="0" borderId="0" xfId="0" applyFont="1" applyAlignment="1">
      <alignment horizontal="center" vertical="center" shrinkToFit="1"/>
    </xf>
    <xf numFmtId="198" fontId="53" fillId="27" borderId="116" xfId="0" applyNumberFormat="1" applyFont="1" applyFill="1" applyBorder="1" applyAlignment="1" applyProtection="1">
      <alignment horizontal="center" vertical="center" shrinkToFit="1"/>
      <protection locked="0"/>
    </xf>
    <xf numFmtId="198" fontId="53" fillId="27" borderId="18" xfId="0" applyNumberFormat="1" applyFont="1" applyFill="1" applyBorder="1" applyAlignment="1" applyProtection="1">
      <alignment horizontal="center" vertical="center" shrinkToFit="1"/>
      <protection locked="0"/>
    </xf>
    <xf numFmtId="198" fontId="53" fillId="27" borderId="117" xfId="0" applyNumberFormat="1" applyFont="1" applyFill="1" applyBorder="1" applyAlignment="1" applyProtection="1">
      <alignment horizontal="center" vertical="center" shrinkToFit="1"/>
      <protection locked="0"/>
    </xf>
    <xf numFmtId="198" fontId="53" fillId="27" borderId="118" xfId="0" applyNumberFormat="1" applyFont="1" applyFill="1" applyBorder="1" applyAlignment="1" applyProtection="1">
      <alignment horizontal="center" vertical="center" shrinkToFit="1"/>
      <protection locked="0"/>
    </xf>
    <xf numFmtId="198" fontId="53" fillId="27" borderId="10" xfId="0" applyNumberFormat="1" applyFont="1" applyFill="1" applyBorder="1" applyAlignment="1" applyProtection="1">
      <alignment horizontal="center" vertical="center" shrinkToFit="1"/>
      <protection locked="0"/>
    </xf>
    <xf numFmtId="198" fontId="53" fillId="27" borderId="119" xfId="0" applyNumberFormat="1" applyFont="1" applyFill="1" applyBorder="1" applyAlignment="1" applyProtection="1">
      <alignment horizontal="center" vertical="center" shrinkToFit="1"/>
      <protection locked="0"/>
    </xf>
    <xf numFmtId="0" fontId="57" fillId="0" borderId="0" xfId="0" applyFont="1" applyAlignment="1">
      <alignment horizontal="left" vertical="center" shrinkToFit="1"/>
    </xf>
    <xf numFmtId="0" fontId="16" fillId="0" borderId="0" xfId="0" applyFont="1" applyAlignment="1">
      <alignment horizontal="left" vertical="center" shrinkToFit="1"/>
    </xf>
    <xf numFmtId="0" fontId="55" fillId="0" borderId="0" xfId="0" applyFont="1" applyBorder="1" applyAlignment="1">
      <alignment horizontal="center" vertical="center" shrinkToFit="1"/>
    </xf>
    <xf numFmtId="0" fontId="39" fillId="0" borderId="0" xfId="0" applyFont="1" applyAlignment="1">
      <alignment horizontal="center"/>
    </xf>
    <xf numFmtId="0" fontId="40" fillId="0" borderId="0" xfId="0" applyFont="1" applyAlignment="1">
      <alignment horizontal="left" indent="6"/>
    </xf>
    <xf numFmtId="0" fontId="39" fillId="0" borderId="136" xfId="0" applyFont="1" applyBorder="1" applyAlignment="1">
      <alignment horizontal="center"/>
    </xf>
    <xf numFmtId="0" fontId="0" fillId="0" borderId="105" xfId="0" applyBorder="1" applyAlignment="1">
      <alignment horizontal="center"/>
    </xf>
    <xf numFmtId="0" fontId="39" fillId="28" borderId="137" xfId="0" applyFont="1" applyFill="1" applyBorder="1" applyAlignment="1">
      <alignment horizontal="center" vertical="center"/>
    </xf>
    <xf numFmtId="0" fontId="39" fillId="28" borderId="138" xfId="0" applyFont="1" applyFill="1" applyBorder="1" applyAlignment="1">
      <alignment horizontal="center" vertical="center"/>
    </xf>
    <xf numFmtId="0" fontId="39" fillId="28" borderId="118" xfId="0" applyFont="1" applyFill="1" applyBorder="1" applyAlignment="1">
      <alignment horizontal="center" vertical="center"/>
    </xf>
    <xf numFmtId="0" fontId="39" fillId="28" borderId="128" xfId="0" applyFont="1" applyFill="1" applyBorder="1" applyAlignment="1">
      <alignment horizontal="center" vertical="center"/>
    </xf>
    <xf numFmtId="0" fontId="41" fillId="28" borderId="139" xfId="0" applyFont="1" applyFill="1" applyBorder="1" applyAlignment="1">
      <alignment horizontal="center" vertical="center"/>
    </xf>
    <xf numFmtId="0" fontId="41" fillId="28" borderId="90" xfId="0" applyFont="1" applyFill="1" applyBorder="1" applyAlignment="1">
      <alignment horizontal="center" vertical="center"/>
    </xf>
    <xf numFmtId="0" fontId="41" fillId="28" borderId="140" xfId="0" applyFont="1" applyFill="1" applyBorder="1" applyAlignment="1">
      <alignment horizontal="center" vertical="center"/>
    </xf>
    <xf numFmtId="0" fontId="41" fillId="28" borderId="91" xfId="0" applyFont="1" applyFill="1" applyBorder="1" applyAlignment="1">
      <alignment horizontal="center" vertical="center"/>
    </xf>
    <xf numFmtId="0" fontId="41" fillId="28" borderId="141" xfId="0" applyFont="1" applyFill="1" applyBorder="1" applyAlignment="1">
      <alignment horizontal="center" vertical="center"/>
    </xf>
    <xf numFmtId="0" fontId="39" fillId="28" borderId="142" xfId="0" applyFont="1" applyFill="1" applyBorder="1" applyAlignment="1"/>
    <xf numFmtId="0" fontId="41" fillId="28" borderId="142" xfId="0" applyFont="1" applyFill="1" applyBorder="1" applyAlignment="1">
      <alignment horizontal="center" vertical="center"/>
    </xf>
    <xf numFmtId="0" fontId="0" fillId="28" borderId="140" xfId="0" applyFill="1" applyBorder="1" applyAlignment="1">
      <alignment horizontal="center" vertical="center"/>
    </xf>
    <xf numFmtId="0" fontId="41" fillId="29" borderId="103" xfId="0" applyFont="1" applyFill="1" applyBorder="1" applyAlignment="1">
      <alignment horizontal="center" vertical="center" wrapText="1" shrinkToFit="1"/>
    </xf>
    <xf numFmtId="0" fontId="41" fillId="29" borderId="133" xfId="0" applyFont="1" applyFill="1" applyBorder="1" applyAlignment="1">
      <alignment horizontal="center" vertical="center" shrinkToFit="1"/>
    </xf>
    <xf numFmtId="0" fontId="41" fillId="29" borderId="104" xfId="0" applyFont="1" applyFill="1" applyBorder="1" applyAlignment="1">
      <alignment horizontal="center" vertical="center" shrinkToFit="1"/>
    </xf>
    <xf numFmtId="0" fontId="41" fillId="0" borderId="130" xfId="0" applyFont="1" applyBorder="1" applyAlignment="1">
      <alignment horizontal="center" vertical="center"/>
    </xf>
    <xf numFmtId="0" fontId="41" fillId="0" borderId="91" xfId="0" applyFont="1" applyBorder="1" applyAlignment="1">
      <alignment horizontal="center" vertical="center"/>
    </xf>
    <xf numFmtId="0" fontId="41" fillId="0" borderId="116" xfId="0" applyFont="1" applyBorder="1" applyAlignment="1">
      <alignment horizontal="center" vertical="center"/>
    </xf>
    <xf numFmtId="0" fontId="41" fillId="0" borderId="124" xfId="0" applyFont="1" applyBorder="1" applyAlignment="1">
      <alignment horizontal="center" vertical="center"/>
    </xf>
    <xf numFmtId="0" fontId="41" fillId="0" borderId="118" xfId="0" applyFont="1" applyBorder="1" applyAlignment="1">
      <alignment horizontal="center" vertical="center"/>
    </xf>
    <xf numFmtId="0" fontId="41" fillId="0" borderId="125" xfId="0" applyFont="1" applyBorder="1" applyAlignment="1">
      <alignment horizontal="center" vertical="center"/>
    </xf>
    <xf numFmtId="0" fontId="39" fillId="29" borderId="103" xfId="0" applyFont="1" applyFill="1" applyBorder="1" applyAlignment="1">
      <alignment horizontal="center" vertical="center"/>
    </xf>
    <xf numFmtId="0" fontId="41" fillId="29" borderId="133" xfId="0" applyFont="1" applyFill="1" applyBorder="1" applyAlignment="1">
      <alignment horizontal="center" vertical="center"/>
    </xf>
    <xf numFmtId="0" fontId="41" fillId="29" borderId="104" xfId="0" applyFont="1" applyFill="1" applyBorder="1" applyAlignment="1">
      <alignment horizontal="center" vertical="center"/>
    </xf>
    <xf numFmtId="0" fontId="41" fillId="28" borderId="134" xfId="0" applyFont="1" applyFill="1" applyBorder="1" applyAlignment="1">
      <alignment horizontal="center" vertical="center"/>
    </xf>
    <xf numFmtId="0" fontId="39" fillId="28" borderId="135" xfId="0" applyFont="1" applyFill="1" applyBorder="1" applyAlignment="1"/>
    <xf numFmtId="0" fontId="41" fillId="28" borderId="135" xfId="0" applyFont="1" applyFill="1" applyBorder="1" applyAlignment="1">
      <alignment horizontal="center" vertical="center"/>
    </xf>
    <xf numFmtId="0" fontId="0" fillId="28" borderId="91" xfId="0" applyFill="1" applyBorder="1" applyAlignment="1">
      <alignment horizontal="center" vertical="center"/>
    </xf>
    <xf numFmtId="0" fontId="39" fillId="0" borderId="116" xfId="0" applyFont="1" applyBorder="1" applyAlignment="1">
      <alignment horizontal="center" vertical="center"/>
    </xf>
    <xf numFmtId="0" fontId="39" fillId="0" borderId="108" xfId="0" applyFont="1" applyBorder="1" applyAlignment="1">
      <alignment horizontal="center" vertical="center"/>
    </xf>
    <xf numFmtId="0" fontId="39" fillId="0" borderId="118" xfId="0" applyFont="1" applyBorder="1" applyAlignment="1">
      <alignment horizontal="center" vertical="center"/>
    </xf>
    <xf numFmtId="0" fontId="39" fillId="0" borderId="128" xfId="0" applyFont="1" applyBorder="1" applyAlignment="1">
      <alignment horizontal="center" vertical="center"/>
    </xf>
    <xf numFmtId="0" fontId="41" fillId="0" borderId="129" xfId="0" applyFont="1" applyBorder="1" applyAlignment="1">
      <alignment horizontal="center" vertical="center"/>
    </xf>
    <xf numFmtId="0" fontId="41" fillId="0" borderId="90" xfId="0" applyFont="1" applyBorder="1" applyAlignment="1">
      <alignment horizontal="center" vertical="center"/>
    </xf>
    <xf numFmtId="0" fontId="41" fillId="0" borderId="131" xfId="0" applyFont="1" applyBorder="1" applyAlignment="1">
      <alignment horizontal="center" vertical="center"/>
    </xf>
    <xf numFmtId="0" fontId="41" fillId="0" borderId="117" xfId="0" applyFont="1" applyBorder="1" applyAlignment="1">
      <alignment horizontal="center" vertical="center"/>
    </xf>
    <xf numFmtId="0" fontId="41" fillId="0" borderId="132" xfId="0" applyFont="1" applyBorder="1" applyAlignment="1">
      <alignment horizontal="center" vertical="center"/>
    </xf>
    <xf numFmtId="0" fontId="41" fillId="0" borderId="119" xfId="0" applyFont="1" applyBorder="1" applyAlignment="1">
      <alignment horizontal="center" vertical="center"/>
    </xf>
    <xf numFmtId="0" fontId="39" fillId="0" borderId="94" xfId="0" applyFont="1" applyBorder="1" applyAlignment="1">
      <alignment horizontal="center" vertical="center"/>
    </xf>
    <xf numFmtId="0" fontId="0" fillId="0" borderId="16" xfId="0" applyBorder="1" applyAlignment="1">
      <alignment horizontal="center" vertical="center"/>
    </xf>
    <xf numFmtId="0" fontId="41" fillId="0" borderId="122" xfId="0" applyFont="1" applyBorder="1" applyAlignment="1">
      <alignment horizontal="center" vertical="center"/>
    </xf>
    <xf numFmtId="0" fontId="39" fillId="0" borderId="123" xfId="0" applyFont="1" applyBorder="1" applyAlignment="1">
      <alignment horizontal="center" vertical="center"/>
    </xf>
    <xf numFmtId="0" fontId="41" fillId="0" borderId="123" xfId="0" applyFont="1" applyBorder="1" applyAlignment="1">
      <alignment horizontal="center" vertical="center"/>
    </xf>
    <xf numFmtId="0" fontId="0" fillId="0" borderId="93" xfId="0" applyBorder="1" applyAlignment="1">
      <alignment horizontal="center" vertical="center"/>
    </xf>
    <xf numFmtId="0" fontId="39" fillId="0" borderId="94" xfId="0" applyFont="1" applyFill="1" applyBorder="1" applyAlignment="1">
      <alignment horizontal="center" vertical="center"/>
    </xf>
    <xf numFmtId="0" fontId="0" fillId="0" borderId="16" xfId="0" applyFill="1" applyBorder="1" applyAlignment="1">
      <alignment horizontal="center" vertical="center"/>
    </xf>
    <xf numFmtId="0" fontId="41" fillId="0" borderId="122" xfId="0" applyFont="1" applyFill="1" applyBorder="1" applyAlignment="1">
      <alignment horizontal="center" vertical="center"/>
    </xf>
    <xf numFmtId="0" fontId="39" fillId="0" borderId="123" xfId="0" applyFont="1" applyFill="1" applyBorder="1" applyAlignment="1">
      <alignment horizontal="center" vertical="center"/>
    </xf>
    <xf numFmtId="0" fontId="41" fillId="0" borderId="123" xfId="0" applyFont="1" applyFill="1" applyBorder="1" applyAlignment="1">
      <alignment horizontal="center" vertical="center"/>
    </xf>
    <xf numFmtId="0" fontId="0" fillId="0" borderId="93" xfId="0" applyFill="1" applyBorder="1" applyAlignment="1">
      <alignment horizontal="center" vertical="center"/>
    </xf>
    <xf numFmtId="0" fontId="0" fillId="0" borderId="123" xfId="0" applyBorder="1" applyAlignment="1">
      <alignment horizontal="center" vertical="center"/>
    </xf>
    <xf numFmtId="0" fontId="39" fillId="0" borderId="93" xfId="0" applyFont="1" applyBorder="1" applyAlignment="1">
      <alignment horizontal="center" vertical="center"/>
    </xf>
    <xf numFmtId="0" fontId="39" fillId="28" borderId="94" xfId="0" applyFont="1" applyFill="1" applyBorder="1" applyAlignment="1">
      <alignment horizontal="center" vertical="center"/>
    </xf>
    <xf numFmtId="0" fontId="0" fillId="28" borderId="16" xfId="0" applyFill="1" applyBorder="1" applyAlignment="1">
      <alignment horizontal="center" vertical="center"/>
    </xf>
    <xf numFmtId="0" fontId="41" fillId="28" borderId="122" xfId="0" applyFont="1" applyFill="1" applyBorder="1" applyAlignment="1">
      <alignment horizontal="center" vertical="center"/>
    </xf>
    <xf numFmtId="0" fontId="39" fillId="28" borderId="123" xfId="0" applyFont="1" applyFill="1" applyBorder="1" applyAlignment="1">
      <alignment horizontal="center" vertical="center"/>
    </xf>
    <xf numFmtId="0" fontId="41" fillId="28" borderId="123" xfId="0" applyFont="1" applyFill="1" applyBorder="1" applyAlignment="1">
      <alignment horizontal="center" vertical="center"/>
    </xf>
    <xf numFmtId="0" fontId="0" fillId="28" borderId="93" xfId="0" applyFill="1" applyBorder="1" applyAlignment="1">
      <alignment horizontal="center" vertical="center"/>
    </xf>
    <xf numFmtId="0" fontId="0" fillId="0" borderId="16" xfId="0" applyBorder="1"/>
    <xf numFmtId="0" fontId="41" fillId="0" borderId="94" xfId="0" applyFont="1" applyBorder="1" applyAlignment="1">
      <alignment horizontal="center" vertical="center"/>
    </xf>
    <xf numFmtId="0" fontId="0" fillId="0" borderId="126" xfId="0" applyBorder="1"/>
    <xf numFmtId="0" fontId="41" fillId="0" borderId="127" xfId="0" applyFont="1" applyBorder="1" applyAlignment="1">
      <alignment horizontal="center" vertical="center"/>
    </xf>
    <xf numFmtId="0" fontId="0" fillId="0" borderId="95" xfId="0" applyBorder="1"/>
    <xf numFmtId="0" fontId="42" fillId="0" borderId="116" xfId="0" applyFont="1" applyFill="1" applyBorder="1" applyAlignment="1">
      <alignment horizontal="center" vertical="center"/>
    </xf>
    <xf numFmtId="0" fontId="21" fillId="0" borderId="18" xfId="0" applyFont="1" applyFill="1" applyBorder="1" applyAlignment="1">
      <alignment horizontal="center" vertical="center"/>
    </xf>
    <xf numFmtId="0" fontId="21" fillId="0" borderId="117" xfId="0" applyFont="1" applyFill="1" applyBorder="1" applyAlignment="1">
      <alignment horizontal="center" vertical="center"/>
    </xf>
    <xf numFmtId="0" fontId="21" fillId="0" borderId="120" xfId="0" applyFont="1" applyFill="1" applyBorder="1" applyAlignment="1">
      <alignment horizontal="center" vertical="center"/>
    </xf>
    <xf numFmtId="0" fontId="21" fillId="0" borderId="0" xfId="0" applyFont="1" applyFill="1" applyBorder="1" applyAlignment="1">
      <alignment horizontal="center" vertical="center"/>
    </xf>
    <xf numFmtId="0" fontId="21" fillId="0" borderId="121" xfId="0" applyFont="1" applyFill="1" applyBorder="1" applyAlignment="1">
      <alignment horizontal="center" vertical="center"/>
    </xf>
    <xf numFmtId="0" fontId="21" fillId="0" borderId="118" xfId="0" applyFont="1" applyFill="1" applyBorder="1" applyAlignment="1">
      <alignment horizontal="center" vertical="center"/>
    </xf>
    <xf numFmtId="0" fontId="21" fillId="0" borderId="10" xfId="0" applyFont="1" applyFill="1" applyBorder="1" applyAlignment="1">
      <alignment horizontal="center" vertical="center"/>
    </xf>
    <xf numFmtId="0" fontId="21" fillId="0" borderId="119" xfId="0" applyFont="1" applyFill="1" applyBorder="1" applyAlignment="1">
      <alignment horizontal="center" vertical="center"/>
    </xf>
    <xf numFmtId="0" fontId="43" fillId="0" borderId="94" xfId="0" applyFont="1" applyBorder="1" applyAlignment="1">
      <alignment horizontal="center"/>
    </xf>
    <xf numFmtId="0" fontId="6" fillId="0" borderId="95" xfId="0" applyFont="1" applyBorder="1" applyAlignment="1">
      <alignment horizontal="center"/>
    </xf>
    <xf numFmtId="0" fontId="44" fillId="0" borderId="61" xfId="0" applyFont="1" applyBorder="1" applyAlignment="1">
      <alignment horizontal="center" vertical="center"/>
    </xf>
    <xf numFmtId="0" fontId="19" fillId="0" borderId="61" xfId="0" applyFont="1" applyBorder="1" applyAlignment="1">
      <alignment horizontal="center" vertical="center"/>
    </xf>
    <xf numFmtId="0" fontId="45" fillId="0" borderId="116" xfId="0" applyFont="1" applyBorder="1" applyAlignment="1">
      <alignment horizontal="center" vertical="center"/>
    </xf>
    <xf numFmtId="0" fontId="5" fillId="0" borderId="117" xfId="0" applyFont="1" applyBorder="1" applyAlignment="1">
      <alignment horizontal="center" vertical="center"/>
    </xf>
    <xf numFmtId="0" fontId="45" fillId="0" borderId="117" xfId="0" applyFont="1" applyBorder="1" applyAlignment="1">
      <alignment horizontal="center" vertical="center"/>
    </xf>
    <xf numFmtId="0" fontId="46" fillId="0" borderId="116" xfId="0" applyFont="1" applyBorder="1" applyAlignment="1">
      <alignment horizontal="center" vertical="center"/>
    </xf>
    <xf numFmtId="0" fontId="46" fillId="0" borderId="117" xfId="0" applyFont="1" applyBorder="1" applyAlignment="1">
      <alignment horizontal="center" vertical="center"/>
    </xf>
    <xf numFmtId="0" fontId="45" fillId="0" borderId="120" xfId="0" applyFont="1" applyBorder="1" applyAlignment="1">
      <alignment horizontal="center" vertical="center"/>
    </xf>
    <xf numFmtId="0" fontId="45" fillId="0" borderId="121" xfId="0" applyFont="1" applyBorder="1" applyAlignment="1">
      <alignment horizontal="center" vertical="center"/>
    </xf>
    <xf numFmtId="0" fontId="46" fillId="0" borderId="120" xfId="0" applyFont="1" applyBorder="1" applyAlignment="1">
      <alignment horizontal="center" vertical="center"/>
    </xf>
    <xf numFmtId="0" fontId="48" fillId="0" borderId="121" xfId="0" applyFont="1" applyBorder="1" applyAlignment="1">
      <alignment horizontal="center" vertical="center"/>
    </xf>
    <xf numFmtId="0" fontId="0" fillId="0" borderId="121" xfId="0" applyBorder="1" applyAlignment="1">
      <alignment horizontal="center" vertical="center"/>
    </xf>
    <xf numFmtId="0" fontId="45" fillId="0" borderId="118" xfId="0" applyFont="1" applyBorder="1" applyAlignment="1">
      <alignment horizontal="center" vertical="center"/>
    </xf>
    <xf numFmtId="0" fontId="45" fillId="0" borderId="119" xfId="0" applyFont="1" applyBorder="1" applyAlignment="1">
      <alignment horizontal="center" vertical="center"/>
    </xf>
    <xf numFmtId="0" fontId="46" fillId="0" borderId="121" xfId="0" applyFont="1" applyBorder="1" applyAlignment="1">
      <alignment horizontal="center" vertical="center"/>
    </xf>
    <xf numFmtId="0" fontId="5" fillId="0" borderId="121" xfId="0" applyFont="1" applyBorder="1" applyAlignment="1">
      <alignment horizontal="center" vertical="center"/>
    </xf>
    <xf numFmtId="0" fontId="45" fillId="0" borderId="118" xfId="0" applyFont="1" applyBorder="1" applyAlignment="1">
      <alignment horizontal="left" vertical="center" indent="1"/>
    </xf>
    <xf numFmtId="0" fontId="45" fillId="0" borderId="119" xfId="0" applyFont="1" applyBorder="1" applyAlignment="1">
      <alignment horizontal="left" vertical="center" indent="1"/>
    </xf>
    <xf numFmtId="0" fontId="39" fillId="0" borderId="0" xfId="0" applyFont="1" applyFill="1" applyBorder="1" applyAlignment="1">
      <alignment horizontal="left" indent="1"/>
    </xf>
    <xf numFmtId="0" fontId="0" fillId="0" borderId="0" xfId="0" applyAlignment="1">
      <alignment horizontal="left" indent="1"/>
    </xf>
    <xf numFmtId="0" fontId="39" fillId="0" borderId="0" xfId="0" applyFont="1" applyAlignment="1">
      <alignment horizontal="left" indent="1"/>
    </xf>
    <xf numFmtId="0" fontId="39" fillId="0" borderId="0" xfId="0" applyFont="1" applyAlignment="1"/>
    <xf numFmtId="0" fontId="58" fillId="0" borderId="0" xfId="0" applyFont="1" applyBorder="1" applyAlignment="1">
      <alignment horizontal="center" vertical="center"/>
    </xf>
    <xf numFmtId="0" fontId="58" fillId="0" borderId="84" xfId="0" applyFont="1" applyBorder="1" applyAlignment="1">
      <alignment horizontal="center" vertical="center"/>
    </xf>
    <xf numFmtId="0" fontId="58" fillId="0" borderId="10" xfId="0" applyFont="1" applyBorder="1" applyAlignment="1">
      <alignment horizontal="center" vertical="center"/>
    </xf>
    <xf numFmtId="0" fontId="58" fillId="0" borderId="59" xfId="0" applyFont="1" applyBorder="1" applyAlignment="1">
      <alignment horizontal="center" vertical="center"/>
    </xf>
    <xf numFmtId="0" fontId="58" fillId="0" borderId="25" xfId="0" applyFont="1" applyBorder="1" applyAlignment="1">
      <alignment horizontal="left" vertical="center"/>
    </xf>
    <xf numFmtId="0" fontId="58" fillId="0" borderId="18" xfId="0" applyFont="1" applyBorder="1" applyAlignment="1">
      <alignment horizontal="left" vertical="center"/>
    </xf>
    <xf numFmtId="0" fontId="58" fillId="0" borderId="12" xfId="0" applyFont="1" applyBorder="1" applyAlignment="1">
      <alignment horizontal="left" vertical="center"/>
    </xf>
    <xf numFmtId="0" fontId="58" fillId="0" borderId="0" xfId="0" applyFont="1" applyBorder="1" applyAlignment="1">
      <alignment horizontal="left" vertical="center"/>
    </xf>
    <xf numFmtId="0" fontId="62" fillId="0" borderId="0" xfId="0" applyFont="1" applyAlignment="1">
      <alignment horizontal="center" vertical="center" shrinkToFit="1"/>
    </xf>
    <xf numFmtId="0" fontId="0" fillId="0" borderId="29" xfId="0" applyBorder="1" applyAlignment="1">
      <alignment horizontal="center" vertical="center"/>
    </xf>
    <xf numFmtId="0" fontId="58" fillId="0" borderId="12" xfId="0" applyFont="1" applyBorder="1" applyAlignment="1">
      <alignment horizontal="center" vertical="center"/>
    </xf>
    <xf numFmtId="0" fontId="58" fillId="0" borderId="84" xfId="0" applyFont="1" applyBorder="1" applyAlignment="1">
      <alignment horizontal="left" vertical="center"/>
    </xf>
    <xf numFmtId="0" fontId="58" fillId="0" borderId="72" xfId="0" applyFont="1" applyBorder="1" applyAlignment="1">
      <alignment horizontal="center" vertical="center"/>
    </xf>
    <xf numFmtId="0" fontId="58" fillId="0" borderId="79" xfId="0" applyFont="1" applyBorder="1" applyAlignment="1">
      <alignment horizontal="left" vertical="center"/>
    </xf>
    <xf numFmtId="0" fontId="58" fillId="0" borderId="11" xfId="0" applyFont="1" applyBorder="1" applyAlignment="1">
      <alignment horizontal="left" vertical="center"/>
    </xf>
    <xf numFmtId="0" fontId="58" fillId="0" borderId="82" xfId="0" applyFont="1" applyBorder="1" applyAlignment="1">
      <alignment horizontal="left" vertical="center"/>
    </xf>
    <xf numFmtId="0" fontId="60" fillId="0" borderId="143" xfId="0" applyFont="1" applyBorder="1" applyAlignment="1">
      <alignment horizontal="center" vertical="center"/>
    </xf>
    <xf numFmtId="0" fontId="60" fillId="0" borderId="100" xfId="0" applyFont="1" applyBorder="1" applyAlignment="1">
      <alignment horizontal="center" vertical="center"/>
    </xf>
    <xf numFmtId="0" fontId="60" fillId="0" borderId="99" xfId="0" applyFont="1" applyBorder="1" applyAlignment="1">
      <alignment horizontal="center" vertical="center"/>
    </xf>
    <xf numFmtId="0" fontId="61" fillId="0" borderId="18" xfId="0" applyFont="1" applyBorder="1" applyAlignment="1">
      <alignment horizontal="center" vertical="center"/>
    </xf>
    <xf numFmtId="0" fontId="61" fillId="0" borderId="29" xfId="0" applyFont="1" applyBorder="1" applyAlignment="1">
      <alignment horizontal="center" vertical="center"/>
    </xf>
    <xf numFmtId="0" fontId="60" fillId="0" borderId="0" xfId="0" applyFont="1" applyBorder="1" applyAlignment="1">
      <alignment horizontal="center" vertical="center"/>
    </xf>
    <xf numFmtId="0" fontId="60" fillId="0" borderId="84" xfId="0" applyFont="1" applyBorder="1" applyAlignment="1">
      <alignment horizontal="center" vertical="center"/>
    </xf>
    <xf numFmtId="0" fontId="60" fillId="0" borderId="29" xfId="0" applyFont="1" applyBorder="1" applyAlignment="1">
      <alignment horizontal="center" vertical="center"/>
    </xf>
    <xf numFmtId="0" fontId="60" fillId="0" borderId="30" xfId="0" applyFont="1" applyBorder="1" applyAlignment="1">
      <alignment horizontal="center" vertical="center"/>
    </xf>
    <xf numFmtId="0" fontId="58" fillId="0" borderId="72" xfId="0" applyFont="1" applyBorder="1" applyAlignment="1">
      <alignment horizontal="left" vertical="center"/>
    </xf>
    <xf numFmtId="0" fontId="58" fillId="0" borderId="10" xfId="0" applyFont="1" applyBorder="1" applyAlignment="1">
      <alignment horizontal="left" vertical="center"/>
    </xf>
    <xf numFmtId="0" fontId="58" fillId="0" borderId="59" xfId="0" applyFont="1" applyBorder="1" applyAlignment="1">
      <alignment horizontal="left" vertical="center"/>
    </xf>
    <xf numFmtId="0" fontId="58" fillId="0" borderId="25" xfId="0" applyFont="1" applyBorder="1" applyAlignment="1">
      <alignment horizontal="center" vertical="center"/>
    </xf>
    <xf numFmtId="0" fontId="58" fillId="0" borderId="18" xfId="0" applyFont="1" applyBorder="1" applyAlignment="1">
      <alignment horizontal="center" vertical="center"/>
    </xf>
    <xf numFmtId="0" fontId="58" fillId="0" borderId="83" xfId="0" applyFont="1" applyBorder="1" applyAlignment="1">
      <alignment horizontal="center" vertical="center"/>
    </xf>
    <xf numFmtId="0" fontId="60" fillId="0" borderId="13" xfId="0" applyFont="1" applyBorder="1" applyAlignment="1">
      <alignment horizontal="center" vertical="center"/>
    </xf>
    <xf numFmtId="0" fontId="60" fillId="0" borderId="19" xfId="0" applyFont="1" applyBorder="1" applyAlignment="1">
      <alignment horizontal="center" vertical="center"/>
    </xf>
    <xf numFmtId="0" fontId="60" fillId="0" borderId="20" xfId="0" applyFont="1" applyBorder="1" applyAlignment="1">
      <alignment horizontal="center" vertical="center"/>
    </xf>
    <xf numFmtId="0" fontId="61" fillId="0" borderId="10" xfId="0" applyFont="1" applyBorder="1" applyAlignment="1">
      <alignment horizontal="center" vertical="center"/>
    </xf>
    <xf numFmtId="0" fontId="60" fillId="0" borderId="11" xfId="0" applyFont="1" applyBorder="1" applyAlignment="1">
      <alignment horizontal="center" vertical="center"/>
    </xf>
    <xf numFmtId="0" fontId="60" fillId="0" borderId="82" xfId="0" applyFont="1" applyBorder="1" applyAlignment="1">
      <alignment horizontal="center" vertical="center"/>
    </xf>
    <xf numFmtId="0" fontId="58" fillId="0" borderId="0" xfId="0" applyFont="1" applyAlignment="1">
      <alignment horizontal="center" vertical="center"/>
    </xf>
    <xf numFmtId="0" fontId="59" fillId="0" borderId="0" xfId="0" applyFont="1" applyAlignment="1">
      <alignment horizontal="center" vertical="center"/>
    </xf>
    <xf numFmtId="0" fontId="60" fillId="0" borderId="79" xfId="0" applyFont="1" applyBorder="1" applyAlignment="1">
      <alignment horizontal="center" vertical="center"/>
    </xf>
    <xf numFmtId="0" fontId="60" fillId="0" borderId="12" xfId="0" applyFont="1" applyBorder="1" applyAlignment="1">
      <alignment horizontal="center" vertical="center"/>
    </xf>
    <xf numFmtId="0" fontId="60" fillId="0" borderId="28" xfId="0" applyFont="1" applyBorder="1" applyAlignment="1">
      <alignment horizontal="center" vertical="center"/>
    </xf>
    <xf numFmtId="0" fontId="60" fillId="0" borderId="10" xfId="0" applyFont="1" applyBorder="1" applyAlignment="1">
      <alignment horizontal="center" vertical="center"/>
    </xf>
    <xf numFmtId="0" fontId="60" fillId="0" borderId="59" xfId="0" applyFont="1" applyBorder="1" applyAlignment="1">
      <alignment horizontal="center" vertical="center"/>
    </xf>
    <xf numFmtId="0" fontId="60" fillId="0" borderId="79" xfId="0" applyFont="1" applyBorder="1" applyAlignment="1">
      <alignment horizontal="center" vertical="center" shrinkToFit="1"/>
    </xf>
    <xf numFmtId="0" fontId="60" fillId="0" borderId="82" xfId="0" applyFont="1" applyBorder="1" applyAlignment="1">
      <alignment horizontal="center" vertical="center" shrinkToFit="1"/>
    </xf>
    <xf numFmtId="0" fontId="60" fillId="0" borderId="28" xfId="0" applyFont="1" applyBorder="1" applyAlignment="1">
      <alignment horizontal="center" vertical="center" shrinkToFit="1"/>
    </xf>
    <xf numFmtId="0" fontId="60" fillId="0" borderId="30" xfId="0" applyFont="1" applyBorder="1" applyAlignment="1">
      <alignment horizontal="center" vertical="center" shrinkToFit="1"/>
    </xf>
    <xf numFmtId="0" fontId="60" fillId="0" borderId="97" xfId="0" applyFont="1" applyBorder="1" applyAlignment="1">
      <alignment horizontal="center" vertical="center"/>
    </xf>
    <xf numFmtId="0" fontId="60" fillId="0" borderId="101" xfId="0" applyFont="1" applyBorder="1" applyAlignment="1">
      <alignment horizontal="center" vertical="center"/>
    </xf>
    <xf numFmtId="0" fontId="60" fillId="0" borderId="96" xfId="0" applyFont="1" applyBorder="1" applyAlignment="1">
      <alignment horizontal="center" vertical="center"/>
    </xf>
    <xf numFmtId="0" fontId="19" fillId="0" borderId="143" xfId="0" applyFont="1" applyBorder="1" applyAlignment="1">
      <alignment horizontal="center"/>
    </xf>
    <xf numFmtId="0" fontId="19" fillId="0" borderId="99" xfId="0" applyFont="1" applyBorder="1" applyAlignment="1">
      <alignment horizontal="center"/>
    </xf>
    <xf numFmtId="6" fontId="8" fillId="0" borderId="143" xfId="41" applyFont="1" applyBorder="1" applyAlignment="1">
      <alignment horizontal="right" shrinkToFit="1"/>
    </xf>
    <xf numFmtId="6" fontId="8" fillId="0" borderId="99" xfId="41" applyFont="1" applyBorder="1" applyAlignment="1">
      <alignment horizontal="right" shrinkToFit="1"/>
    </xf>
    <xf numFmtId="6" fontId="8" fillId="0" borderId="100" xfId="41" applyFont="1" applyBorder="1" applyAlignment="1">
      <alignment horizontal="right" shrinkToFit="1"/>
    </xf>
    <xf numFmtId="0" fontId="16" fillId="0" borderId="10" xfId="0" applyFont="1" applyBorder="1" applyAlignment="1">
      <alignment horizontal="center"/>
    </xf>
    <xf numFmtId="0" fontId="4" fillId="0" borderId="10" xfId="0" applyFont="1" applyBorder="1" applyAlignment="1">
      <alignment horizontal="center" shrinkToFit="1"/>
    </xf>
    <xf numFmtId="0" fontId="6" fillId="0" borderId="154" xfId="0" applyFont="1" applyBorder="1" applyAlignment="1">
      <alignment horizontal="center"/>
    </xf>
    <xf numFmtId="0" fontId="6" fillId="0" borderId="155" xfId="0" applyFont="1" applyBorder="1" applyAlignment="1">
      <alignment horizontal="center"/>
    </xf>
    <xf numFmtId="38" fontId="8" fillId="0" borderId="155" xfId="33" applyFont="1" applyBorder="1" applyAlignment="1">
      <alignment horizontal="right" shrinkToFit="1"/>
    </xf>
    <xf numFmtId="38" fontId="8" fillId="0" borderId="22" xfId="33" applyFont="1" applyBorder="1" applyAlignment="1">
      <alignment horizontal="right" shrinkToFit="1"/>
    </xf>
    <xf numFmtId="0" fontId="19" fillId="0" borderId="78" xfId="0" applyFont="1" applyBorder="1" applyAlignment="1">
      <alignment horizontal="center"/>
    </xf>
    <xf numFmtId="0" fontId="19" fillId="0" borderId="86" xfId="0" applyFont="1" applyBorder="1" applyAlignment="1">
      <alignment horizontal="center"/>
    </xf>
    <xf numFmtId="0" fontId="0" fillId="0" borderId="78" xfId="0" applyBorder="1" applyAlignment="1">
      <alignment horizontal="center" shrinkToFit="1"/>
    </xf>
    <xf numFmtId="0" fontId="0" fillId="0" borderId="86" xfId="0" applyBorder="1" applyAlignment="1">
      <alignment horizontal="center" shrinkToFit="1"/>
    </xf>
    <xf numFmtId="0" fontId="0" fillId="0" borderId="102" xfId="0" applyBorder="1" applyAlignment="1">
      <alignment horizontal="center" shrinkToFit="1"/>
    </xf>
    <xf numFmtId="0" fontId="0" fillId="0" borderId="61" xfId="0" applyBorder="1" applyAlignment="1">
      <alignment horizontal="center" shrinkToFit="1"/>
    </xf>
    <xf numFmtId="0" fontId="8" fillId="0" borderId="0" xfId="0" applyFont="1" applyBorder="1" applyAlignment="1">
      <alignment horizontal="center" shrinkToFit="1"/>
    </xf>
    <xf numFmtId="0" fontId="8" fillId="0" borderId="10" xfId="0" applyFont="1" applyBorder="1" applyAlignment="1">
      <alignment horizontal="center" shrinkToFit="1"/>
    </xf>
    <xf numFmtId="0" fontId="6" fillId="0" borderId="114" xfId="0" applyFont="1" applyBorder="1" applyAlignment="1">
      <alignment horizontal="center"/>
    </xf>
    <xf numFmtId="0" fontId="6" fillId="0" borderId="19" xfId="0" applyFont="1" applyBorder="1" applyAlignment="1">
      <alignment horizontal="center"/>
    </xf>
    <xf numFmtId="0" fontId="6" fillId="0" borderId="94" xfId="0" applyFont="1" applyBorder="1" applyAlignment="1">
      <alignment horizontal="center"/>
    </xf>
    <xf numFmtId="0" fontId="6" fillId="0" borderId="17" xfId="0" applyFont="1" applyBorder="1" applyAlignment="1">
      <alignment horizontal="center"/>
    </xf>
    <xf numFmtId="38" fontId="8" fillId="0" borderId="19" xfId="33" applyFont="1" applyBorder="1" applyAlignment="1">
      <alignment horizontal="right" shrinkToFit="1"/>
    </xf>
    <xf numFmtId="38" fontId="8" fillId="0" borderId="20" xfId="33" applyFont="1" applyBorder="1" applyAlignment="1">
      <alignment horizontal="right" shrinkToFit="1"/>
    </xf>
    <xf numFmtId="38" fontId="8" fillId="0" borderId="17" xfId="33" applyFont="1" applyBorder="1" applyAlignment="1">
      <alignment horizontal="right" shrinkToFit="1"/>
    </xf>
    <xf numFmtId="38" fontId="8" fillId="0" borderId="21" xfId="33" applyFont="1" applyBorder="1" applyAlignment="1">
      <alignment horizontal="right" shrinkToFit="1"/>
    </xf>
    <xf numFmtId="0" fontId="19" fillId="0" borderId="75" xfId="0" applyFont="1" applyBorder="1" applyAlignment="1">
      <alignment horizontal="center"/>
    </xf>
    <xf numFmtId="0" fontId="19" fillId="0" borderId="85" xfId="0" applyFont="1" applyBorder="1" applyAlignment="1">
      <alignment horizontal="center"/>
    </xf>
    <xf numFmtId="0" fontId="19" fillId="0" borderId="102" xfId="0" applyFont="1" applyBorder="1" applyAlignment="1">
      <alignment horizontal="center"/>
    </xf>
    <xf numFmtId="0" fontId="19" fillId="0" borderId="61" xfId="0" applyFont="1" applyBorder="1" applyAlignment="1">
      <alignment horizontal="center"/>
    </xf>
    <xf numFmtId="38" fontId="19" fillId="0" borderId="118" xfId="33" applyFont="1" applyBorder="1" applyAlignment="1">
      <alignment shrinkToFit="1"/>
    </xf>
    <xf numFmtId="38" fontId="19" fillId="0" borderId="10" xfId="33" applyFont="1" applyBorder="1" applyAlignment="1">
      <alignment shrinkToFit="1"/>
    </xf>
    <xf numFmtId="38" fontId="19" fillId="0" borderId="61" xfId="33" applyFont="1" applyBorder="1" applyAlignment="1">
      <alignment shrinkToFit="1"/>
    </xf>
    <xf numFmtId="0" fontId="0" fillId="0" borderId="115" xfId="0" applyBorder="1" applyAlignment="1">
      <alignment horizontal="center" shrinkToFit="1"/>
    </xf>
    <xf numFmtId="6" fontId="8" fillId="0" borderId="151" xfId="41" applyFont="1" applyBorder="1" applyAlignment="1">
      <alignment horizontal="right"/>
    </xf>
    <xf numFmtId="6" fontId="8" fillId="0" borderId="99" xfId="41" applyFont="1" applyBorder="1" applyAlignment="1">
      <alignment horizontal="right"/>
    </xf>
    <xf numFmtId="6" fontId="8" fillId="0" borderId="152" xfId="41" applyFont="1" applyBorder="1" applyAlignment="1">
      <alignment horizontal="right"/>
    </xf>
    <xf numFmtId="0" fontId="20" fillId="0" borderId="73" xfId="0" applyFont="1" applyBorder="1" applyAlignment="1">
      <alignment horizontal="center"/>
    </xf>
    <xf numFmtId="0" fontId="20" fillId="0" borderId="153" xfId="0" applyFont="1" applyBorder="1" applyAlignment="1">
      <alignment horizontal="center"/>
    </xf>
    <xf numFmtId="0" fontId="20" fillId="0" borderId="151" xfId="0" applyFont="1" applyBorder="1" applyAlignment="1">
      <alignment horizontal="center"/>
    </xf>
    <xf numFmtId="0" fontId="0" fillId="0" borderId="152" xfId="0" applyBorder="1" applyAlignment="1">
      <alignment horizontal="center"/>
    </xf>
    <xf numFmtId="0" fontId="0" fillId="0" borderId="153" xfId="0" applyBorder="1" applyAlignment="1">
      <alignment horizontal="center"/>
    </xf>
    <xf numFmtId="0" fontId="0" fillId="0" borderId="74" xfId="0" applyBorder="1" applyAlignment="1">
      <alignment horizontal="center"/>
    </xf>
    <xf numFmtId="0" fontId="0" fillId="0" borderId="77" xfId="0" applyBorder="1" applyAlignment="1">
      <alignment horizontal="center" shrinkToFit="1"/>
    </xf>
    <xf numFmtId="38" fontId="19" fillId="0" borderId="86" xfId="33" applyFont="1" applyBorder="1" applyAlignment="1">
      <alignment shrinkToFit="1"/>
    </xf>
    <xf numFmtId="0" fontId="6" fillId="0" borderId="78" xfId="0" applyFont="1" applyBorder="1" applyAlignment="1">
      <alignment horizontal="left" shrinkToFit="1"/>
    </xf>
    <xf numFmtId="0" fontId="6" fillId="0" borderId="86" xfId="0" applyFont="1" applyBorder="1" applyAlignment="1">
      <alignment horizontal="left" shrinkToFit="1"/>
    </xf>
    <xf numFmtId="38" fontId="6" fillId="0" borderId="18" xfId="33" applyFont="1" applyBorder="1" applyAlignment="1">
      <alignment horizontal="right" shrinkToFit="1"/>
    </xf>
    <xf numFmtId="38" fontId="6" fillId="0" borderId="17" xfId="33" applyFont="1" applyBorder="1" applyAlignment="1">
      <alignment horizontal="right" shrinkToFit="1"/>
    </xf>
    <xf numFmtId="0" fontId="0" fillId="0" borderId="144" xfId="0" applyBorder="1" applyAlignment="1">
      <alignment horizontal="center" shrinkToFit="1"/>
    </xf>
    <xf numFmtId="0" fontId="0" fillId="0" borderId="104" xfId="0" applyBorder="1" applyAlignment="1">
      <alignment horizontal="center" shrinkToFit="1"/>
    </xf>
    <xf numFmtId="0" fontId="0" fillId="0" borderId="150" xfId="0" applyBorder="1" applyAlignment="1">
      <alignment horizontal="center" shrinkToFit="1"/>
    </xf>
    <xf numFmtId="38" fontId="6" fillId="0" borderId="10" xfId="33" applyFont="1" applyBorder="1" applyAlignment="1">
      <alignment horizontal="right" shrinkToFit="1"/>
    </xf>
    <xf numFmtId="0" fontId="0" fillId="0" borderId="145" xfId="0" applyBorder="1" applyAlignment="1">
      <alignment horizontal="center" shrinkToFit="1"/>
    </xf>
    <xf numFmtId="0" fontId="0" fillId="0" borderId="146" xfId="0" applyBorder="1" applyAlignment="1">
      <alignment horizontal="center" shrinkToFit="1"/>
    </xf>
    <xf numFmtId="0" fontId="15" fillId="0" borderId="79"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5" fillId="0" borderId="0" xfId="0" applyFont="1" applyBorder="1" applyAlignment="1">
      <alignment horizontal="center"/>
    </xf>
    <xf numFmtId="0" fontId="15" fillId="0" borderId="28" xfId="0" applyFont="1" applyBorder="1" applyAlignment="1">
      <alignment horizontal="center"/>
    </xf>
    <xf numFmtId="0" fontId="15" fillId="0" borderId="29" xfId="0" applyFont="1" applyBorder="1" applyAlignment="1">
      <alignment horizontal="center"/>
    </xf>
    <xf numFmtId="6" fontId="18" fillId="0" borderId="11" xfId="41" applyFont="1" applyBorder="1" applyAlignment="1">
      <alignment horizontal="center"/>
    </xf>
    <xf numFmtId="6" fontId="18" fillId="0" borderId="82" xfId="41" applyFont="1" applyBorder="1" applyAlignment="1">
      <alignment horizontal="center"/>
    </xf>
    <xf numFmtId="6" fontId="18" fillId="0" borderId="0" xfId="41" applyFont="1" applyBorder="1" applyAlignment="1">
      <alignment horizontal="center"/>
    </xf>
    <xf numFmtId="6" fontId="18" fillId="0" borderId="84" xfId="41" applyFont="1" applyBorder="1" applyAlignment="1">
      <alignment horizontal="center"/>
    </xf>
    <xf numFmtId="6" fontId="18" fillId="0" borderId="29" xfId="41" applyFont="1" applyBorder="1" applyAlignment="1">
      <alignment horizontal="center"/>
    </xf>
    <xf numFmtId="6" fontId="18" fillId="0" borderId="30" xfId="41" applyFont="1" applyBorder="1" applyAlignment="1">
      <alignment horizontal="center"/>
    </xf>
    <xf numFmtId="0" fontId="0" fillId="0" borderId="85" xfId="0" applyBorder="1" applyAlignment="1">
      <alignment horizontal="center" shrinkToFit="1"/>
    </xf>
    <xf numFmtId="0" fontId="0" fillId="0" borderId="76" xfId="0" applyBorder="1" applyAlignment="1">
      <alignment horizontal="center" shrinkToFit="1"/>
    </xf>
    <xf numFmtId="0" fontId="6" fillId="0" borderId="75" xfId="0" applyFont="1" applyBorder="1" applyAlignment="1">
      <alignment horizontal="center" shrinkToFit="1"/>
    </xf>
    <xf numFmtId="0" fontId="6" fillId="0" borderId="85" xfId="0" applyFont="1" applyBorder="1" applyAlignment="1">
      <alignment horizontal="center" shrinkToFit="1"/>
    </xf>
    <xf numFmtId="0" fontId="19" fillId="0" borderId="72" xfId="0" applyFont="1" applyBorder="1" applyAlignment="1">
      <alignment horizontal="center" shrinkToFit="1"/>
    </xf>
    <xf numFmtId="0" fontId="19" fillId="0" borderId="10" xfId="0" applyFont="1" applyBorder="1" applyAlignment="1">
      <alignment horizontal="center" shrinkToFit="1"/>
    </xf>
    <xf numFmtId="0" fontId="19" fillId="0" borderId="119" xfId="0" applyFont="1" applyBorder="1" applyAlignment="1">
      <alignment horizontal="center" shrinkToFit="1"/>
    </xf>
    <xf numFmtId="38" fontId="19" fillId="0" borderId="116" xfId="33" applyFont="1" applyBorder="1" applyAlignment="1">
      <alignment shrinkToFit="1"/>
    </xf>
    <xf numFmtId="38" fontId="19" fillId="0" borderId="18" xfId="33" applyFont="1" applyBorder="1" applyAlignment="1">
      <alignment shrinkToFit="1"/>
    </xf>
    <xf numFmtId="0" fontId="10" fillId="0" borderId="15" xfId="0" applyFont="1" applyBorder="1" applyAlignment="1">
      <alignment horizontal="center" shrinkToFit="1"/>
    </xf>
    <xf numFmtId="0" fontId="10" fillId="0" borderId="17" xfId="0" applyFont="1" applyBorder="1" applyAlignment="1">
      <alignment horizontal="center" shrinkToFit="1"/>
    </xf>
    <xf numFmtId="38" fontId="19" fillId="0" borderId="149" xfId="33" applyFont="1" applyBorder="1" applyAlignment="1">
      <alignment shrinkToFit="1"/>
    </xf>
    <xf numFmtId="38" fontId="19" fillId="0" borderId="11" xfId="33" applyFont="1" applyBorder="1" applyAlignment="1">
      <alignment shrinkToFit="1"/>
    </xf>
    <xf numFmtId="0" fontId="6" fillId="0" borderId="17" xfId="0" applyFont="1" applyBorder="1" applyAlignment="1">
      <alignment horizontal="left" shrinkToFit="1"/>
    </xf>
    <xf numFmtId="0" fontId="6" fillId="0" borderId="95" xfId="0" applyFont="1" applyBorder="1" applyAlignment="1">
      <alignment horizontal="left" shrinkToFit="1"/>
    </xf>
    <xf numFmtId="0" fontId="0" fillId="0" borderId="147" xfId="0" applyBorder="1" applyAlignment="1">
      <alignment horizontal="center" shrinkToFit="1"/>
    </xf>
    <xf numFmtId="0" fontId="0" fillId="0" borderId="148" xfId="0" applyBorder="1" applyAlignment="1">
      <alignment horizontal="center" shrinkToFit="1"/>
    </xf>
    <xf numFmtId="0" fontId="6" fillId="0" borderId="15" xfId="0" applyFont="1" applyBorder="1" applyAlignment="1">
      <alignment horizontal="center" shrinkToFit="1"/>
    </xf>
    <xf numFmtId="0" fontId="6" fillId="0" borderId="17" xfId="0" applyFont="1" applyBorder="1" applyAlignment="1">
      <alignment horizontal="center" shrinkToFit="1"/>
    </xf>
    <xf numFmtId="0" fontId="6" fillId="0" borderId="95" xfId="0" applyFont="1" applyBorder="1" applyAlignment="1">
      <alignment horizontal="center" shrinkToFit="1"/>
    </xf>
    <xf numFmtId="0" fontId="6" fillId="0" borderId="102" xfId="0" applyFont="1" applyBorder="1" applyAlignment="1">
      <alignment horizontal="left" shrinkToFit="1"/>
    </xf>
    <xf numFmtId="0" fontId="6" fillId="0" borderId="61" xfId="0" applyFont="1" applyBorder="1" applyAlignment="1">
      <alignment horizontal="left" shrinkToFit="1"/>
    </xf>
    <xf numFmtId="38" fontId="19" fillId="0" borderId="94" xfId="33" applyFont="1" applyBorder="1" applyAlignment="1">
      <alignment shrinkToFit="1"/>
    </xf>
    <xf numFmtId="38" fontId="19" fillId="0" borderId="17" xfId="33" applyFont="1" applyBorder="1" applyAlignment="1">
      <alignment shrinkToFit="1"/>
    </xf>
    <xf numFmtId="38" fontId="19" fillId="0" borderId="95" xfId="33" applyFont="1" applyBorder="1" applyAlignment="1">
      <alignment shrinkToFit="1"/>
    </xf>
    <xf numFmtId="0" fontId="0" fillId="0" borderId="61" xfId="0" applyBorder="1" applyAlignment="1">
      <alignment horizontal="center"/>
    </xf>
    <xf numFmtId="58" fontId="12" fillId="0" borderId="0" xfId="0" applyNumberFormat="1" applyFont="1" applyBorder="1" applyAlignment="1">
      <alignment horizontal="center"/>
    </xf>
    <xf numFmtId="58" fontId="12" fillId="0" borderId="10" xfId="0" applyNumberFormat="1" applyFont="1" applyBorder="1" applyAlignment="1">
      <alignment horizontal="center"/>
    </xf>
    <xf numFmtId="0" fontId="13" fillId="0" borderId="0" xfId="0" applyFont="1" applyAlignment="1">
      <alignment horizontal="right"/>
    </xf>
    <xf numFmtId="0" fontId="4" fillId="0" borderId="17" xfId="0" applyFont="1" applyBorder="1" applyAlignment="1">
      <alignment horizontal="center" shrinkToFit="1"/>
    </xf>
    <xf numFmtId="0" fontId="15" fillId="0" borderId="0" xfId="0" applyFont="1" applyAlignment="1">
      <alignment horizontal="center"/>
    </xf>
    <xf numFmtId="38" fontId="6" fillId="0" borderId="11" xfId="33" applyFont="1" applyBorder="1" applyAlignment="1">
      <alignment horizontal="right" shrinkToFit="1"/>
    </xf>
    <xf numFmtId="0" fontId="21" fillId="0" borderId="61" xfId="0" applyFont="1" applyBorder="1" applyAlignment="1">
      <alignment horizontal="center" vertical="center"/>
    </xf>
    <xf numFmtId="0" fontId="14" fillId="0" borderId="0" xfId="0" applyFont="1" applyBorder="1" applyAlignment="1">
      <alignment horizontal="center"/>
    </xf>
    <xf numFmtId="0" fontId="14" fillId="0" borderId="10" xfId="0" applyFont="1" applyBorder="1" applyAlignment="1">
      <alignment horizontal="center"/>
    </xf>
    <xf numFmtId="0" fontId="15" fillId="0" borderId="10" xfId="0" applyFont="1" applyBorder="1" applyAlignment="1">
      <alignment horizontal="center"/>
    </xf>
    <xf numFmtId="0" fontId="15" fillId="0" borderId="17" xfId="0" applyFont="1" applyBorder="1" applyAlignment="1">
      <alignment horizontal="center"/>
    </xf>
    <xf numFmtId="0" fontId="17" fillId="0" borderId="17" xfId="0" applyFont="1" applyBorder="1" applyAlignment="1">
      <alignment horizontal="center" shrinkToFit="1"/>
    </xf>
    <xf numFmtId="0" fontId="0" fillId="0" borderId="79" xfId="0" applyBorder="1" applyAlignment="1">
      <alignment horizontal="center" vertical="center"/>
    </xf>
    <xf numFmtId="0" fontId="0" fillId="0" borderId="82" xfId="0" applyBorder="1" applyAlignment="1">
      <alignment horizontal="center" vertical="center"/>
    </xf>
    <xf numFmtId="0" fontId="0" fillId="0" borderId="28" xfId="0" applyBorder="1" applyAlignment="1">
      <alignment horizontal="center" vertical="center"/>
    </xf>
    <xf numFmtId="0" fontId="0" fillId="0" borderId="30" xfId="0" applyBorder="1" applyAlignment="1">
      <alignment horizontal="center" vertical="center"/>
    </xf>
    <xf numFmtId="0" fontId="0" fillId="0" borderId="96" xfId="0" applyBorder="1" applyAlignment="1">
      <alignment horizontal="center"/>
    </xf>
    <xf numFmtId="0" fontId="0" fillId="0" borderId="101" xfId="0" applyBorder="1" applyAlignment="1">
      <alignment horizontal="center"/>
    </xf>
    <xf numFmtId="0" fontId="0" fillId="0" borderId="79" xfId="0" applyBorder="1" applyAlignment="1">
      <alignment horizontal="center"/>
    </xf>
    <xf numFmtId="0" fontId="0" fillId="0" borderId="11" xfId="0" applyBorder="1" applyAlignment="1">
      <alignment horizontal="center"/>
    </xf>
    <xf numFmtId="0" fontId="0" fillId="0" borderId="82"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1" xfId="0" applyBorder="1" applyAlignment="1">
      <alignment horizontal="center" vertical="center"/>
    </xf>
    <xf numFmtId="0" fontId="65" fillId="0" borderId="0" xfId="0" applyFont="1" applyAlignment="1">
      <alignment horizontal="center" vertical="center"/>
    </xf>
    <xf numFmtId="0" fontId="4" fillId="0" borderId="0" xfId="0" applyFont="1" applyAlignment="1">
      <alignment horizontal="center" vertical="center"/>
    </xf>
    <xf numFmtId="0" fontId="10" fillId="0" borderId="79" xfId="0" applyFont="1" applyBorder="1" applyAlignment="1">
      <alignment horizontal="center" vertical="center"/>
    </xf>
    <xf numFmtId="0" fontId="10" fillId="0" borderId="82" xfId="0" applyFont="1" applyBorder="1" applyAlignment="1">
      <alignment horizontal="center" vertical="center"/>
    </xf>
    <xf numFmtId="0" fontId="10" fillId="0" borderId="28" xfId="0" applyFont="1" applyBorder="1" applyAlignment="1">
      <alignment horizontal="center" vertical="center"/>
    </xf>
    <xf numFmtId="0" fontId="10" fillId="0" borderId="30" xfId="0" applyFont="1" applyBorder="1" applyAlignment="1">
      <alignment horizontal="center" vertical="center"/>
    </xf>
    <xf numFmtId="0" fontId="19" fillId="0" borderId="79" xfId="0" applyFont="1" applyBorder="1" applyAlignment="1">
      <alignment horizontal="center" vertical="center"/>
    </xf>
    <xf numFmtId="0" fontId="19" fillId="0" borderId="11" xfId="0" applyFont="1" applyBorder="1" applyAlignment="1">
      <alignment horizontal="center" vertical="center"/>
    </xf>
    <xf numFmtId="0" fontId="19" fillId="0" borderId="82" xfId="0" applyFont="1" applyBorder="1" applyAlignment="1">
      <alignment horizontal="center" vertical="center"/>
    </xf>
    <xf numFmtId="0" fontId="19" fillId="0" borderId="28" xfId="0"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0" fillId="0" borderId="12" xfId="0" applyBorder="1" applyAlignment="1">
      <alignment horizontal="center" vertical="center"/>
    </xf>
    <xf numFmtId="0" fontId="0" fillId="0" borderId="0" xfId="0" applyBorder="1" applyAlignment="1">
      <alignment horizontal="center" vertical="center"/>
    </xf>
    <xf numFmtId="0" fontId="0" fillId="0" borderId="84" xfId="0" applyBorder="1" applyAlignment="1">
      <alignment horizontal="center" vertical="center"/>
    </xf>
    <xf numFmtId="0" fontId="11" fillId="0" borderId="79" xfId="0" applyFont="1" applyBorder="1" applyAlignment="1">
      <alignment horizontal="center" vertical="center"/>
    </xf>
    <xf numFmtId="0" fontId="11" fillId="0" borderId="11" xfId="0" applyFont="1" applyBorder="1" applyAlignment="1">
      <alignment horizontal="center" vertical="center"/>
    </xf>
    <xf numFmtId="0" fontId="11" fillId="0" borderId="82" xfId="0" applyFont="1" applyBorder="1" applyAlignment="1">
      <alignment horizontal="center" vertical="center"/>
    </xf>
    <xf numFmtId="0" fontId="11" fillId="0" borderId="12" xfId="0" applyFont="1" applyBorder="1" applyAlignment="1">
      <alignment horizontal="center" vertical="center"/>
    </xf>
    <xf numFmtId="0" fontId="11" fillId="0" borderId="0" xfId="0" applyFont="1" applyBorder="1" applyAlignment="1">
      <alignment horizontal="center" vertical="center"/>
    </xf>
    <xf numFmtId="0" fontId="11" fillId="0" borderId="84"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0" fillId="0" borderId="143" xfId="0" applyBorder="1" applyAlignment="1">
      <alignment horizontal="center" vertical="center"/>
    </xf>
    <xf numFmtId="0" fontId="0" fillId="0" borderId="99" xfId="0" applyBorder="1" applyAlignment="1">
      <alignment horizontal="center" vertical="center"/>
    </xf>
    <xf numFmtId="0" fontId="0" fillId="0" borderId="100" xfId="0" applyBorder="1" applyAlignment="1">
      <alignment horizontal="center" vertical="center"/>
    </xf>
    <xf numFmtId="0" fontId="0" fillId="0" borderId="96" xfId="0" applyBorder="1" applyAlignment="1">
      <alignment horizontal="center" vertical="center"/>
    </xf>
    <xf numFmtId="0" fontId="0" fillId="0" borderId="101" xfId="0" applyBorder="1" applyAlignment="1">
      <alignment horizontal="center" vertical="center"/>
    </xf>
    <xf numFmtId="0" fontId="8" fillId="0" borderId="0" xfId="0" applyFont="1" applyAlignment="1">
      <alignment horizontal="center" vertical="center"/>
    </xf>
    <xf numFmtId="0" fontId="9" fillId="0" borderId="0" xfId="0" applyFont="1" applyBorder="1" applyAlignment="1">
      <alignment horizontal="center" vertical="center"/>
    </xf>
    <xf numFmtId="0" fontId="9" fillId="0" borderId="29" xfId="0" applyFont="1" applyBorder="1" applyAlignment="1">
      <alignment horizontal="center" vertical="center"/>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33" builtinId="6"/>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通貨" xfId="41" builtinId="7"/>
    <cellStyle name="入力" xfId="42" builtinId="20" customBuiltin="1"/>
    <cellStyle name="標準" xfId="0" builtinId="0"/>
    <cellStyle name="標準_プレサンス御幣島ステーションフロント（中戸様）" xfId="43" xr:uid="{B2E828DA-F246-42C8-9DF7-5546E1BFB69A}"/>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13</xdr:row>
      <xdr:rowOff>19050</xdr:rowOff>
    </xdr:from>
    <xdr:to>
      <xdr:col>3</xdr:col>
      <xdr:colOff>19050</xdr:colOff>
      <xdr:row>14</xdr:row>
      <xdr:rowOff>0</xdr:rowOff>
    </xdr:to>
    <xdr:sp macro="" textlink="">
      <xdr:nvSpPr>
        <xdr:cNvPr id="2639" name="Line 26">
          <a:extLst>
            <a:ext uri="{FF2B5EF4-FFF2-40B4-BE49-F238E27FC236}">
              <a16:creationId xmlns:a16="http://schemas.microsoft.com/office/drawing/2014/main" id="{51F08424-64DF-7762-486E-363B8D8E0B3D}"/>
            </a:ext>
          </a:extLst>
        </xdr:cNvPr>
        <xdr:cNvSpPr>
          <a:spLocks noChangeShapeType="1"/>
        </xdr:cNvSpPr>
      </xdr:nvSpPr>
      <xdr:spPr bwMode="auto">
        <a:xfrm flipV="1">
          <a:off x="1682750" y="2260600"/>
          <a:ext cx="628650" cy="1524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368300</xdr:colOff>
      <xdr:row>3</xdr:row>
      <xdr:rowOff>38100</xdr:rowOff>
    </xdr:from>
    <xdr:to>
      <xdr:col>4</xdr:col>
      <xdr:colOff>460749</xdr:colOff>
      <xdr:row>3</xdr:row>
      <xdr:rowOff>146050</xdr:rowOff>
    </xdr:to>
    <xdr:sp macro="" textlink="">
      <xdr:nvSpPr>
        <xdr:cNvPr id="2075" name="WordArt 27">
          <a:extLst>
            <a:ext uri="{FF2B5EF4-FFF2-40B4-BE49-F238E27FC236}">
              <a16:creationId xmlns:a16="http://schemas.microsoft.com/office/drawing/2014/main" id="{1B87ACCC-4493-8AB3-7099-A26A49651B3E}"/>
            </a:ext>
          </a:extLst>
        </xdr:cNvPr>
        <xdr:cNvSpPr>
          <a:spLocks noChangeArrowheads="1" noChangeShapeType="1" noTextEdit="1"/>
        </xdr:cNvSpPr>
      </xdr:nvSpPr>
      <xdr:spPr bwMode="auto">
        <a:xfrm>
          <a:off x="3705225" y="581025"/>
          <a:ext cx="104775" cy="11430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ゴシック"/>
              <a:ea typeface="ＭＳ Ｐゴシック"/>
            </a:rPr>
            <a:t>日</a:t>
          </a:r>
        </a:p>
      </xdr:txBody>
    </xdr:sp>
    <xdr:clientData/>
  </xdr:twoCellAnchor>
  <xdr:twoCellAnchor>
    <xdr:from>
      <xdr:col>4</xdr:col>
      <xdr:colOff>358775</xdr:colOff>
      <xdr:row>4</xdr:row>
      <xdr:rowOff>38100</xdr:rowOff>
    </xdr:from>
    <xdr:to>
      <xdr:col>4</xdr:col>
      <xdr:colOff>457002</xdr:colOff>
      <xdr:row>4</xdr:row>
      <xdr:rowOff>146050</xdr:rowOff>
    </xdr:to>
    <xdr:sp macro="" textlink="">
      <xdr:nvSpPr>
        <xdr:cNvPr id="2077" name="WordArt 29">
          <a:extLst>
            <a:ext uri="{FF2B5EF4-FFF2-40B4-BE49-F238E27FC236}">
              <a16:creationId xmlns:a16="http://schemas.microsoft.com/office/drawing/2014/main" id="{33185812-DDC0-AFFA-46E0-C570335543FB}"/>
            </a:ext>
          </a:extLst>
        </xdr:cNvPr>
        <xdr:cNvSpPr>
          <a:spLocks noChangeArrowheads="1" noChangeShapeType="1" noTextEdit="1"/>
        </xdr:cNvSpPr>
      </xdr:nvSpPr>
      <xdr:spPr bwMode="auto">
        <a:xfrm>
          <a:off x="3695700" y="771525"/>
          <a:ext cx="104775" cy="11430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ゴシック"/>
              <a:ea typeface="ＭＳ Ｐゴシック"/>
            </a:rPr>
            <a:t>日</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35EDFE28-3951-0E9D-B982-6C926FD51342}"/>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御見積書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EE1FE823-B841-A244-1A6C-6B77EE6542CF}"/>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575FB1D6-5E2B-CBD8-4FCE-A4E157950066}"/>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5312" name="AutoShape 7">
          <a:extLst>
            <a:ext uri="{FF2B5EF4-FFF2-40B4-BE49-F238E27FC236}">
              <a16:creationId xmlns:a16="http://schemas.microsoft.com/office/drawing/2014/main" id="{55C2678F-EC69-7DE6-2175-BC25275A6292}"/>
            </a:ext>
          </a:extLst>
        </xdr:cNvPr>
        <xdr:cNvSpPr>
          <a:spLocks noChangeArrowheads="1"/>
        </xdr:cNvSpPr>
      </xdr:nvSpPr>
      <xdr:spPr bwMode="auto">
        <a:xfrm>
          <a:off x="41783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3251C751-3AB2-B336-9AD2-90048AD1712B}"/>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endParaRPr lang="ja-JP" altLang="en-US" sz="36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5314" name="AutoShape 12">
          <a:extLst>
            <a:ext uri="{FF2B5EF4-FFF2-40B4-BE49-F238E27FC236}">
              <a16:creationId xmlns:a16="http://schemas.microsoft.com/office/drawing/2014/main" id="{B24D8F4A-9571-2E4B-3FB0-CB2CF240D258}"/>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F789CD3F-215A-5A86-62EE-C81ADD6BE4E9}"/>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46344C6B-02A3-2EE4-ADEB-52B0066A7E42}"/>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a:t>
          </a:r>
        </a:p>
      </xdr:txBody>
    </xdr:sp>
    <xdr:clientData/>
  </xdr:twoCellAnchor>
  <xdr:twoCellAnchor>
    <xdr:from>
      <xdr:col>11</xdr:col>
      <xdr:colOff>180975</xdr:colOff>
      <xdr:row>41</xdr:row>
      <xdr:rowOff>79375</xdr:rowOff>
    </xdr:from>
    <xdr:to>
      <xdr:col>13</xdr:col>
      <xdr:colOff>530225</xdr:colOff>
      <xdr:row>54</xdr:row>
      <xdr:rowOff>60325</xdr:rowOff>
    </xdr:to>
    <xdr:sp macro="" textlink="">
      <xdr:nvSpPr>
        <xdr:cNvPr id="11" name="WordArt 16">
          <a:extLst>
            <a:ext uri="{FF2B5EF4-FFF2-40B4-BE49-F238E27FC236}">
              <a16:creationId xmlns:a16="http://schemas.microsoft.com/office/drawing/2014/main" id="{2DF5F5BA-18D3-1260-0DC0-1B270F8A6C7A}"/>
            </a:ext>
          </a:extLst>
        </xdr:cNvPr>
        <xdr:cNvSpPr>
          <a:spLocks noChangeArrowheads="1" noChangeShapeType="1"/>
        </xdr:cNvSpPr>
      </xdr:nvSpPr>
      <xdr:spPr bwMode="auto">
        <a:xfrm>
          <a:off x="4667250" y="8372475"/>
          <a:ext cx="2667000" cy="2219325"/>
        </a:xfrm>
        <a:prstGeom prst="rect">
          <a:avLst/>
        </a:prstGeom>
        <a:noFill/>
        <a:ln>
          <a:noFill/>
        </a:ln>
      </xdr:spPr>
      <xdr:txBody>
        <a:bodyPr vertOverflow="clip" wrap="square" lIns="27432" tIns="18288" rIns="27432" bIns="0" anchor="t"/>
        <a:lstStyle/>
        <a:p>
          <a:pPr algn="ctr" rtl="0">
            <a:lnSpc>
              <a:spcPts val="1300"/>
            </a:lnSpc>
            <a:defRPr sz="1000"/>
          </a:pPr>
          <a:endParaRPr lang="ja-JP" altLang="en-US" sz="1200" b="1" i="0" u="none" strike="noStrike" baseline="0">
            <a:solidFill>
              <a:srgbClr val="000000"/>
            </a:solidFill>
            <a:latin typeface="ＭＳ Ｐ明朝"/>
            <a:ea typeface="ＭＳ Ｐ明朝"/>
          </a:endParaRPr>
        </a:p>
      </xdr:txBody>
    </xdr:sp>
    <xdr:clientData/>
  </xdr:twoCellAnchor>
  <xdr:twoCellAnchor>
    <xdr:from>
      <xdr:col>1</xdr:col>
      <xdr:colOff>88900</xdr:colOff>
      <xdr:row>40</xdr:row>
      <xdr:rowOff>165100</xdr:rowOff>
    </xdr:from>
    <xdr:to>
      <xdr:col>4</xdr:col>
      <xdr:colOff>1009650</xdr:colOff>
      <xdr:row>42</xdr:row>
      <xdr:rowOff>38100</xdr:rowOff>
    </xdr:to>
    <xdr:sp macro="" textlink="">
      <xdr:nvSpPr>
        <xdr:cNvPr id="13" name="WordArt 19">
          <a:extLst>
            <a:ext uri="{FF2B5EF4-FFF2-40B4-BE49-F238E27FC236}">
              <a16:creationId xmlns:a16="http://schemas.microsoft.com/office/drawing/2014/main" id="{8BB6007E-E761-51E7-77CB-26E58602B3D3}"/>
            </a:ext>
          </a:extLst>
        </xdr:cNvPr>
        <xdr:cNvSpPr>
          <a:spLocks noChangeArrowheads="1" noChangeShapeType="1"/>
        </xdr:cNvSpPr>
      </xdr:nvSpPr>
      <xdr:spPr bwMode="auto">
        <a:xfrm>
          <a:off x="361950"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大阪府知事（</a:t>
          </a:r>
          <a:r>
            <a:rPr lang="en-US" altLang="ja-JP" sz="1100" b="1" i="0" u="none" strike="noStrike" baseline="0">
              <a:solidFill>
                <a:srgbClr val="000000"/>
              </a:solidFill>
              <a:latin typeface="ＭＳ Ｐゴシック"/>
              <a:ea typeface="ＭＳ Ｐゴシック"/>
            </a:rPr>
            <a:t>1</a:t>
          </a:r>
          <a:r>
            <a:rPr lang="ja-JP" altLang="en-US" sz="1100" b="1" i="0" u="none" strike="noStrike" baseline="0">
              <a:solidFill>
                <a:srgbClr val="000000"/>
              </a:solidFill>
              <a:latin typeface="ＭＳ Ｐゴシック"/>
              <a:ea typeface="ＭＳ Ｐゴシック"/>
            </a:rPr>
            <a:t>）第</a:t>
          </a:r>
          <a:r>
            <a:rPr lang="en-US" altLang="ja-JP" sz="1100" b="1" i="0" u="none" strike="noStrike" baseline="0">
              <a:solidFill>
                <a:srgbClr val="000000"/>
              </a:solidFill>
              <a:latin typeface="ＭＳ Ｐゴシック"/>
              <a:ea typeface="ＭＳ Ｐゴシック"/>
            </a:rPr>
            <a:t>64549</a:t>
          </a:r>
          <a:r>
            <a:rPr lang="ja-JP" altLang="en-US" sz="1100" b="1" i="0" u="none" strike="noStrike" baseline="0">
              <a:solidFill>
                <a:srgbClr val="000000"/>
              </a:solidFill>
              <a:latin typeface="ＭＳ Ｐゴシック"/>
              <a:ea typeface="ＭＳ Ｐゴシック"/>
            </a:rPr>
            <a:t>号</a:t>
          </a:r>
        </a:p>
      </xdr:txBody>
    </xdr:sp>
    <xdr:clientData/>
  </xdr:twoCellAnchor>
  <xdr:twoCellAnchor>
    <xdr:from>
      <xdr:col>3</xdr:col>
      <xdr:colOff>92075</xdr:colOff>
      <xdr:row>43</xdr:row>
      <xdr:rowOff>155575</xdr:rowOff>
    </xdr:from>
    <xdr:to>
      <xdr:col>9</xdr:col>
      <xdr:colOff>349231</xdr:colOff>
      <xdr:row>45</xdr:row>
      <xdr:rowOff>107950</xdr:rowOff>
    </xdr:to>
    <xdr:sp macro="" textlink="">
      <xdr:nvSpPr>
        <xdr:cNvPr id="14" name="WordArt 20">
          <a:extLst>
            <a:ext uri="{FF2B5EF4-FFF2-40B4-BE49-F238E27FC236}">
              <a16:creationId xmlns:a16="http://schemas.microsoft.com/office/drawing/2014/main" id="{74C03EDF-E2F4-F855-5A70-DB0D46B6C304}"/>
            </a:ext>
          </a:extLst>
        </xdr:cNvPr>
        <xdr:cNvSpPr>
          <a:spLocks noChangeArrowheads="1" noChangeShapeType="1"/>
        </xdr:cNvSpPr>
      </xdr:nvSpPr>
      <xdr:spPr bwMode="auto">
        <a:xfrm>
          <a:off x="828675" y="8791575"/>
          <a:ext cx="3371850" cy="2952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蓮産業株式会社　　　</a:t>
          </a:r>
          <a:r>
            <a:rPr lang="ja-JP" altLang="ja-JP" sz="1100" b="1" i="0" baseline="0">
              <a:effectLst/>
              <a:latin typeface="+mn-lt"/>
              <a:ea typeface="+mn-ea"/>
              <a:cs typeface="+mn-cs"/>
            </a:rPr>
            <a:t>〈 担当：</a:t>
          </a:r>
          <a:r>
            <a:rPr lang="ja-JP" altLang="en-US" sz="1100" b="1" i="0" baseline="0">
              <a:effectLst/>
              <a:latin typeface="+mn-lt"/>
              <a:ea typeface="+mn-ea"/>
              <a:cs typeface="+mn-cs"/>
            </a:rPr>
            <a:t>竹内 悠馬</a:t>
          </a:r>
          <a:r>
            <a:rPr lang="ja-JP" altLang="ja-JP" sz="1100" b="1" i="0" baseline="0">
              <a:effectLst/>
              <a:latin typeface="+mn-lt"/>
              <a:ea typeface="+mn-ea"/>
              <a:cs typeface="+mn-cs"/>
            </a:rPr>
            <a:t>〉    </a:t>
          </a: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15" name="WordArt 22">
          <a:extLst>
            <a:ext uri="{FF2B5EF4-FFF2-40B4-BE49-F238E27FC236}">
              <a16:creationId xmlns:a16="http://schemas.microsoft.com/office/drawing/2014/main" id="{7989FF29-C5AE-E015-2757-070536E63BCB}"/>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endParaRPr lang="ja-JP" altLang="en-US" sz="1050" b="1" i="0" u="none" strike="noStrike" baseline="0">
            <a:solidFill>
              <a:srgbClr val="000000"/>
            </a:solidFill>
            <a:latin typeface="ＭＳ Ｐゴシック"/>
            <a:ea typeface="ＭＳ Ｐゴシック"/>
          </a:endParaRPr>
        </a:p>
      </xdr:txBody>
    </xdr:sp>
    <xdr:clientData/>
  </xdr:twoCellAnchor>
  <xdr:twoCellAnchor>
    <xdr:from>
      <xdr:col>4</xdr:col>
      <xdr:colOff>1092200</xdr:colOff>
      <xdr:row>45</xdr:row>
      <xdr:rowOff>25400</xdr:rowOff>
    </xdr:from>
    <xdr:to>
      <xdr:col>9</xdr:col>
      <xdr:colOff>158750</xdr:colOff>
      <xdr:row>46</xdr:row>
      <xdr:rowOff>107950</xdr:rowOff>
    </xdr:to>
    <xdr:sp macro="" textlink="">
      <xdr:nvSpPr>
        <xdr:cNvPr id="45321" name="WordArt 23">
          <a:extLst>
            <a:ext uri="{FF2B5EF4-FFF2-40B4-BE49-F238E27FC236}">
              <a16:creationId xmlns:a16="http://schemas.microsoft.com/office/drawing/2014/main" id="{F5A24731-DC2B-C75C-DEF8-64F5DCBE3BD4}"/>
            </a:ext>
          </a:extLst>
        </xdr:cNvPr>
        <xdr:cNvSpPr>
          <a:spLocks noChangeArrowheads="1" noChangeShapeType="1"/>
        </xdr:cNvSpPr>
      </xdr:nvSpPr>
      <xdr:spPr bwMode="auto">
        <a:xfrm>
          <a:off x="2527300" y="8832850"/>
          <a:ext cx="12573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88AD01A6-0DB7-B592-008B-9CF0C4C6B71A}"/>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C989CC57-3CCD-FD06-CBE3-34F3A02326AA}"/>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endParaRPr lang="ja-JP" altLang="en-US" sz="1000" kern="10" spc="0">
            <a:ln w="9525">
              <a:solidFill>
                <a:srgbClr val="000000"/>
              </a:solidFill>
              <a:round/>
              <a:headEnd/>
              <a:tailEnd/>
            </a:ln>
            <a:solidFill>
              <a:srgbClr val="000000"/>
            </a:solidFill>
            <a:effectLst/>
            <a:latin typeface="ＭＳ Ｐゴシック"/>
            <a:ea typeface="ＭＳ Ｐゴシック"/>
          </a:endParaRP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5324" name="AutoShape 80">
          <a:extLst>
            <a:ext uri="{FF2B5EF4-FFF2-40B4-BE49-F238E27FC236}">
              <a16:creationId xmlns:a16="http://schemas.microsoft.com/office/drawing/2014/main" id="{17FE5E6E-6816-E16D-80E3-B343A7281EF2}"/>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5B4875E0-CBF0-D72D-79E6-66B1844686BB}"/>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xdr:col>
      <xdr:colOff>19050</xdr:colOff>
      <xdr:row>45</xdr:row>
      <xdr:rowOff>79375</xdr:rowOff>
    </xdr:from>
    <xdr:to>
      <xdr:col>9</xdr:col>
      <xdr:colOff>298450</xdr:colOff>
      <xdr:row>48</xdr:row>
      <xdr:rowOff>95290</xdr:rowOff>
    </xdr:to>
    <xdr:sp macro="" textlink="">
      <xdr:nvSpPr>
        <xdr:cNvPr id="44" name="WordArt 592">
          <a:extLst>
            <a:ext uri="{FF2B5EF4-FFF2-40B4-BE49-F238E27FC236}">
              <a16:creationId xmlns:a16="http://schemas.microsoft.com/office/drawing/2014/main" id="{42CA31E0-39E0-C648-C315-406F52E56215}"/>
            </a:ext>
          </a:extLst>
        </xdr:cNvPr>
        <xdr:cNvSpPr>
          <a:spLocks noChangeArrowheads="1" noChangeShapeType="1" noTextEdit="1"/>
        </xdr:cNvSpPr>
      </xdr:nvSpPr>
      <xdr:spPr bwMode="auto">
        <a:xfrm>
          <a:off x="260350" y="8886825"/>
          <a:ext cx="3530600" cy="511215"/>
        </a:xfrm>
        <a:prstGeom prst="rect">
          <a:avLst/>
        </a:prstGeom>
      </xdr:spPr>
      <xdr:txBody>
        <a:bodyPr wrap="none" fromWordArt="1">
          <a:prstTxWarp prst="textPlain">
            <a:avLst>
              <a:gd name="adj" fmla="val 50000"/>
            </a:avLst>
          </a:prstTxWarp>
        </a:bodyPr>
        <a:lstStyle/>
        <a:p>
          <a:pPr algn="l" rtl="0">
            <a:buNone/>
          </a:pPr>
          <a:r>
            <a:rPr lang="ja-JP" altLang="en-US"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蓮産業株式会社</a:t>
          </a:r>
          <a:endParaRPr lang="en-US" altLang="ja-JP" sz="40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48" name="WordArt 86">
          <a:extLst>
            <a:ext uri="{FF2B5EF4-FFF2-40B4-BE49-F238E27FC236}">
              <a16:creationId xmlns:a16="http://schemas.microsoft.com/office/drawing/2014/main" id="{CEEC8825-640B-3746-07BD-F7C32E475792}"/>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xdr:twoCellAnchor>
    <xdr:from>
      <xdr:col>10</xdr:col>
      <xdr:colOff>67236</xdr:colOff>
      <xdr:row>26</xdr:row>
      <xdr:rowOff>20819</xdr:rowOff>
    </xdr:from>
    <xdr:to>
      <xdr:col>13</xdr:col>
      <xdr:colOff>510082</xdr:colOff>
      <xdr:row>32</xdr:row>
      <xdr:rowOff>187377</xdr:rowOff>
    </xdr:to>
    <xdr:sp macro="" textlink="">
      <xdr:nvSpPr>
        <xdr:cNvPr id="5" name="テキスト ボックス 4">
          <a:extLst>
            <a:ext uri="{FF2B5EF4-FFF2-40B4-BE49-F238E27FC236}">
              <a16:creationId xmlns:a16="http://schemas.microsoft.com/office/drawing/2014/main" id="{B1F0FF20-D0DE-0CE9-1100-81DD5C33D5F1}"/>
            </a:ext>
          </a:extLst>
        </xdr:cNvPr>
        <xdr:cNvSpPr txBox="1"/>
      </xdr:nvSpPr>
      <xdr:spPr>
        <a:xfrm>
          <a:off x="4043793" y="5433934"/>
          <a:ext cx="2722600" cy="147819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000" kern="1200">
              <a:solidFill>
                <a:srgbClr val="FF0000"/>
              </a:solidFill>
            </a:rPr>
            <a:t>ギガ賃貸なら初期費用</a:t>
          </a:r>
          <a:endParaRPr kumimoji="1" lang="en-US" altLang="ja-JP" sz="2000" kern="1200">
            <a:solidFill>
              <a:srgbClr val="FF0000"/>
            </a:solidFill>
          </a:endParaRPr>
        </a:p>
        <a:p>
          <a:pPr>
            <a:lnSpc>
              <a:spcPts val="3500"/>
            </a:lnSpc>
          </a:pPr>
          <a:r>
            <a:rPr kumimoji="1" lang="en-US" altLang="ja-JP" sz="2800" kern="1200">
              <a:solidFill>
                <a:srgbClr val="FF0000"/>
              </a:solidFill>
            </a:rPr>
            <a:t>129,720</a:t>
          </a:r>
          <a:r>
            <a:rPr kumimoji="1" lang="ja-JP" altLang="en-US" sz="2800" kern="1200">
              <a:solidFill>
                <a:srgbClr val="FF0000"/>
              </a:solidFill>
            </a:rPr>
            <a:t>円節約</a:t>
          </a:r>
          <a:r>
            <a:rPr kumimoji="1" lang="en-US" altLang="ja-JP" sz="2800" kern="1200">
              <a:solidFill>
                <a:srgbClr val="FF0000"/>
              </a:solidFill>
            </a:rPr>
            <a:t>!!</a:t>
          </a:r>
          <a:endParaRPr kumimoji="1" lang="ja-JP" altLang="en-US" sz="2800" kern="1200">
            <a:solidFill>
              <a:srgbClr val="FF0000"/>
            </a:solidFill>
          </a:endParaRPr>
        </a:p>
      </xdr:txBody>
    </xdr:sp>
    <xdr:clientData/>
  </xdr:twoCellAnchor>
  <xdr:twoCellAnchor>
    <xdr:from>
      <xdr:col>4</xdr:col>
      <xdr:colOff>926475</xdr:colOff>
      <xdr:row>29</xdr:row>
      <xdr:rowOff>62458</xdr:rowOff>
    </xdr:from>
    <xdr:to>
      <xdr:col>11</xdr:col>
      <xdr:colOff>145738</xdr:colOff>
      <xdr:row>31</xdr:row>
      <xdr:rowOff>123867</xdr:rowOff>
    </xdr:to>
    <xdr:sp macro="" textlink="">
      <xdr:nvSpPr>
        <xdr:cNvPr id="7" name="テキスト ボックス 6">
          <a:extLst>
            <a:ext uri="{FF2B5EF4-FFF2-40B4-BE49-F238E27FC236}">
              <a16:creationId xmlns:a16="http://schemas.microsoft.com/office/drawing/2014/main" id="{30463489-1E3D-319F-44EA-A8D386E56CD2}"/>
            </a:ext>
          </a:extLst>
        </xdr:cNvPr>
        <xdr:cNvSpPr txBox="1"/>
      </xdr:nvSpPr>
      <xdr:spPr>
        <a:xfrm>
          <a:off x="2352623" y="6131392"/>
          <a:ext cx="1957049" cy="498623"/>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kumimoji="1" lang="ja-JP" altLang="en-US" sz="1400" b="1" kern="1200">
              <a:solidFill>
                <a:sysClr val="windowText" lastClr="000000"/>
              </a:solidFill>
              <a:latin typeface="+mn-ea"/>
              <a:ea typeface="+mn-ea"/>
            </a:rPr>
            <a:t>円 </a:t>
          </a:r>
          <a:r>
            <a:rPr kumimoji="1" lang="ja-JP" altLang="en-US" sz="2000" b="1" kern="1200">
              <a:solidFill>
                <a:srgbClr val="FF0000"/>
              </a:solidFill>
              <a:latin typeface="+mn-ea"/>
              <a:ea typeface="+mn-ea"/>
            </a:rPr>
            <a:t>割引</a:t>
          </a:r>
          <a:r>
            <a:rPr kumimoji="1" lang="en-US" altLang="ja-JP" sz="2000" b="1" kern="1200">
              <a:solidFill>
                <a:srgbClr val="FF0000"/>
              </a:solidFill>
              <a:latin typeface="+mn-ea"/>
              <a:ea typeface="+mn-ea"/>
            </a:rPr>
            <a:t>!!</a:t>
          </a:r>
          <a:endParaRPr kumimoji="1" lang="ja-JP" altLang="en-US" sz="2000" b="1" kern="1200">
            <a:solidFill>
              <a:srgbClr val="FF0000"/>
            </a:solidFill>
            <a:latin typeface="+mn-ea"/>
            <a:ea typeface="+mn-ea"/>
          </a:endParaRPr>
        </a:p>
      </xdr:txBody>
    </xdr:sp>
    <xdr:clientData/>
  </xdr:twoCellAnchor>
  <xdr:twoCellAnchor>
    <xdr:from>
      <xdr:col>3</xdr:col>
      <xdr:colOff>751416</xdr:colOff>
      <xdr:row>27</xdr:row>
      <xdr:rowOff>127000</xdr:rowOff>
    </xdr:from>
    <xdr:to>
      <xdr:col>4</xdr:col>
      <xdr:colOff>878416</xdr:colOff>
      <xdr:row>29</xdr:row>
      <xdr:rowOff>104100</xdr:rowOff>
    </xdr:to>
    <xdr:sp macro="" textlink="">
      <xdr:nvSpPr>
        <xdr:cNvPr id="63" name="テキスト ボックス 62">
          <a:extLst>
            <a:ext uri="{FF2B5EF4-FFF2-40B4-BE49-F238E27FC236}">
              <a16:creationId xmlns:a16="http://schemas.microsoft.com/office/drawing/2014/main" id="{6AB93F52-15E0-12B3-841E-4252723C5B08}"/>
            </a:ext>
          </a:extLst>
        </xdr:cNvPr>
        <xdr:cNvSpPr txBox="1"/>
      </xdr:nvSpPr>
      <xdr:spPr>
        <a:xfrm>
          <a:off x="1418166" y="5640917"/>
          <a:ext cx="899583" cy="400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ja-JP" sz="2400" b="1">
              <a:solidFill>
                <a:srgbClr val="00B050"/>
              </a:solidFill>
              <a:effectLst/>
              <a:latin typeface="+mn-lt"/>
              <a:ea typeface="+mn-ea"/>
              <a:cs typeface="+mn-cs"/>
            </a:rPr>
            <a:t>更に</a:t>
          </a:r>
          <a:endParaRPr kumimoji="1" lang="ja-JP" altLang="en-US" sz="2400" kern="1200">
            <a:solidFill>
              <a:srgbClr val="00B050"/>
            </a:solidFill>
          </a:endParaRPr>
        </a:p>
      </xdr:txBody>
    </xdr:sp>
    <xdr:clientData/>
  </xdr:twoCellAnchor>
  <xdr:twoCellAnchor editAs="oneCell">
    <xdr:from>
      <xdr:col>9</xdr:col>
      <xdr:colOff>260350</xdr:colOff>
      <xdr:row>29</xdr:row>
      <xdr:rowOff>76200</xdr:rowOff>
    </xdr:from>
    <xdr:to>
      <xdr:col>14</xdr:col>
      <xdr:colOff>488950</xdr:colOff>
      <xdr:row>55</xdr:row>
      <xdr:rowOff>19050</xdr:rowOff>
    </xdr:to>
    <xdr:pic>
      <xdr:nvPicPr>
        <xdr:cNvPr id="45331" name="図 11">
          <a:extLst>
            <a:ext uri="{FF2B5EF4-FFF2-40B4-BE49-F238E27FC236}">
              <a16:creationId xmlns:a16="http://schemas.microsoft.com/office/drawing/2014/main" id="{8B765B69-B8DE-ECD6-1B65-85DD949672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86200" y="6083300"/>
          <a:ext cx="3441700" cy="440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869950</xdr:colOff>
      <xdr:row>0</xdr:row>
      <xdr:rowOff>98425</xdr:rowOff>
    </xdr:from>
    <xdr:to>
      <xdr:col>9</xdr:col>
      <xdr:colOff>279400</xdr:colOff>
      <xdr:row>1</xdr:row>
      <xdr:rowOff>98425</xdr:rowOff>
    </xdr:to>
    <xdr:sp macro="" textlink="">
      <xdr:nvSpPr>
        <xdr:cNvPr id="2" name="WordArt 1">
          <a:extLst>
            <a:ext uri="{FF2B5EF4-FFF2-40B4-BE49-F238E27FC236}">
              <a16:creationId xmlns:a16="http://schemas.microsoft.com/office/drawing/2014/main" id="{421967F4-CC71-720B-C4DB-ED8B7D4F946B}"/>
            </a:ext>
          </a:extLst>
        </xdr:cNvPr>
        <xdr:cNvSpPr>
          <a:spLocks noChangeArrowheads="1" noChangeShapeType="1" noTextEdit="1"/>
        </xdr:cNvSpPr>
      </xdr:nvSpPr>
      <xdr:spPr bwMode="auto">
        <a:xfrm>
          <a:off x="2524125" y="104775"/>
          <a:ext cx="1600200" cy="171450"/>
        </a:xfrm>
        <a:prstGeom prst="rect">
          <a:avLst/>
        </a:prstGeom>
      </xdr:spPr>
      <xdr:txBody>
        <a:bodyPr wrap="none" fromWordArt="1">
          <a:prstTxWarp prst="textPlain">
            <a:avLst>
              <a:gd name="adj" fmla="val 50000"/>
            </a:avLst>
          </a:prstTxWarp>
        </a:bodyPr>
        <a:lstStyle/>
        <a:p>
          <a:pPr algn="ctr" rtl="0"/>
          <a:r>
            <a:rPr lang="ja-JP" altLang="en-US" sz="3600" b="1" kern="10" spc="0">
              <a:ln w="9525">
                <a:solidFill>
                  <a:srgbClr val="000000"/>
                </a:solidFill>
                <a:round/>
                <a:headEnd/>
                <a:tailEnd/>
              </a:ln>
              <a:solidFill>
                <a:srgbClr val="000000"/>
              </a:solidFill>
              <a:effectLst/>
              <a:latin typeface="ＭＳ Ｐ明朝"/>
              <a:ea typeface="ＭＳ Ｐ明朝"/>
            </a:rPr>
            <a:t>御　請　求  書</a:t>
          </a:r>
        </a:p>
      </xdr:txBody>
    </xdr:sp>
    <xdr:clientData/>
  </xdr:twoCellAnchor>
  <xdr:twoCellAnchor>
    <xdr:from>
      <xdr:col>5</xdr:col>
      <xdr:colOff>50800</xdr:colOff>
      <xdr:row>2</xdr:row>
      <xdr:rowOff>57150</xdr:rowOff>
    </xdr:from>
    <xdr:to>
      <xdr:col>5</xdr:col>
      <xdr:colOff>352725</xdr:colOff>
      <xdr:row>2</xdr:row>
      <xdr:rowOff>209550</xdr:rowOff>
    </xdr:to>
    <xdr:sp macro="" textlink="">
      <xdr:nvSpPr>
        <xdr:cNvPr id="3" name="WordArt 2">
          <a:extLst>
            <a:ext uri="{FF2B5EF4-FFF2-40B4-BE49-F238E27FC236}">
              <a16:creationId xmlns:a16="http://schemas.microsoft.com/office/drawing/2014/main" id="{1F875BAC-0F5E-F60F-3AE3-FE14672E3980}"/>
            </a:ext>
          </a:extLst>
        </xdr:cNvPr>
        <xdr:cNvSpPr>
          <a:spLocks noChangeArrowheads="1" noChangeShapeType="1" noTextEdit="1"/>
        </xdr:cNvSpPr>
      </xdr:nvSpPr>
      <xdr:spPr bwMode="auto">
        <a:xfrm>
          <a:off x="2828925" y="400050"/>
          <a:ext cx="333375" cy="152400"/>
        </a:xfrm>
        <a:prstGeom prst="rect">
          <a:avLst/>
        </a:prstGeom>
      </xdr:spPr>
      <xdr:txBody>
        <a:bodyPr wrap="none" fromWordArt="1">
          <a:prstTxWarp prst="textPlain">
            <a:avLst>
              <a:gd name="adj" fmla="val 50000"/>
            </a:avLst>
          </a:prstTxWarp>
        </a:bodyPr>
        <a:lstStyle/>
        <a:p>
          <a:pPr algn="ctr" rtl="0"/>
          <a:r>
            <a:rPr lang="ja-JP" altLang="en-US" sz="2400" b="1" kern="10" spc="0">
              <a:ln w="9525">
                <a:solidFill>
                  <a:srgbClr val="000000"/>
                </a:solidFill>
                <a:round/>
                <a:headEnd/>
                <a:tailEnd/>
              </a:ln>
              <a:solidFill>
                <a:srgbClr val="000000"/>
              </a:solidFill>
              <a:effectLst/>
              <a:latin typeface="ＭＳ Ｐ明朝"/>
              <a:ea typeface="ＭＳ Ｐ明朝"/>
            </a:rPr>
            <a:t>様</a:t>
          </a:r>
        </a:p>
      </xdr:txBody>
    </xdr:sp>
    <xdr:clientData/>
  </xdr:twoCellAnchor>
  <xdr:twoCellAnchor>
    <xdr:from>
      <xdr:col>2</xdr:col>
      <xdr:colOff>22225</xdr:colOff>
      <xdr:row>7</xdr:row>
      <xdr:rowOff>98425</xdr:rowOff>
    </xdr:from>
    <xdr:to>
      <xdr:col>3</xdr:col>
      <xdr:colOff>752475</xdr:colOff>
      <xdr:row>7</xdr:row>
      <xdr:rowOff>269875</xdr:rowOff>
    </xdr:to>
    <xdr:sp macro="" textlink="">
      <xdr:nvSpPr>
        <xdr:cNvPr id="4" name="WordArt 4">
          <a:extLst>
            <a:ext uri="{FF2B5EF4-FFF2-40B4-BE49-F238E27FC236}">
              <a16:creationId xmlns:a16="http://schemas.microsoft.com/office/drawing/2014/main" id="{2E9BE146-61BE-94AF-EAE4-90525A7102FA}"/>
            </a:ext>
          </a:extLst>
        </xdr:cNvPr>
        <xdr:cNvSpPr>
          <a:spLocks noChangeArrowheads="1" noChangeShapeType="1" noTextEdit="1"/>
        </xdr:cNvSpPr>
      </xdr:nvSpPr>
      <xdr:spPr bwMode="auto">
        <a:xfrm>
          <a:off x="523875" y="1276350"/>
          <a:ext cx="1028700" cy="1714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御請求金額</a:t>
          </a:r>
        </a:p>
      </xdr:txBody>
    </xdr:sp>
    <xdr:clientData/>
  </xdr:twoCellAnchor>
  <xdr:twoCellAnchor>
    <xdr:from>
      <xdr:col>11</xdr:col>
      <xdr:colOff>0</xdr:colOff>
      <xdr:row>20</xdr:row>
      <xdr:rowOff>6350</xdr:rowOff>
    </xdr:from>
    <xdr:to>
      <xdr:col>13</xdr:col>
      <xdr:colOff>254000</xdr:colOff>
      <xdr:row>22</xdr:row>
      <xdr:rowOff>6350</xdr:rowOff>
    </xdr:to>
    <xdr:sp macro="" textlink="">
      <xdr:nvSpPr>
        <xdr:cNvPr id="46479" name="AutoShape 7">
          <a:extLst>
            <a:ext uri="{FF2B5EF4-FFF2-40B4-BE49-F238E27FC236}">
              <a16:creationId xmlns:a16="http://schemas.microsoft.com/office/drawing/2014/main" id="{A0FA11AD-29F8-D7D0-CC8B-8E46433056CE}"/>
            </a:ext>
          </a:extLst>
        </xdr:cNvPr>
        <xdr:cNvSpPr>
          <a:spLocks noChangeArrowheads="1"/>
        </xdr:cNvSpPr>
      </xdr:nvSpPr>
      <xdr:spPr bwMode="auto">
        <a:xfrm>
          <a:off x="4089400" y="4070350"/>
          <a:ext cx="2349500" cy="431800"/>
        </a:xfrm>
        <a:prstGeom prst="ribbon">
          <a:avLst>
            <a:gd name="adj1" fmla="val 20833"/>
            <a:gd name="adj2" fmla="val 50000"/>
          </a:avLst>
        </a:prstGeom>
        <a:solidFill>
          <a:srgbClr val="99FF99"/>
        </a:solidFill>
        <a:ln w="9525">
          <a:solidFill>
            <a:srgbClr val="000000"/>
          </a:solidFill>
          <a:round/>
          <a:headEnd/>
          <a:tailEnd/>
        </a:ln>
      </xdr:spPr>
    </xdr:sp>
    <xdr:clientData/>
  </xdr:twoCellAnchor>
  <xdr:twoCellAnchor>
    <xdr:from>
      <xdr:col>12</xdr:col>
      <xdr:colOff>180975</xdr:colOff>
      <xdr:row>20</xdr:row>
      <xdr:rowOff>155575</xdr:rowOff>
    </xdr:from>
    <xdr:to>
      <xdr:col>12</xdr:col>
      <xdr:colOff>926850</xdr:colOff>
      <xdr:row>21</xdr:row>
      <xdr:rowOff>174625</xdr:rowOff>
    </xdr:to>
    <xdr:sp macro="" textlink="">
      <xdr:nvSpPr>
        <xdr:cNvPr id="6" name="WordArt 8">
          <a:extLst>
            <a:ext uri="{FF2B5EF4-FFF2-40B4-BE49-F238E27FC236}">
              <a16:creationId xmlns:a16="http://schemas.microsoft.com/office/drawing/2014/main" id="{742CC486-438E-71C2-3C81-8D09AC5F451E}"/>
            </a:ext>
          </a:extLst>
        </xdr:cNvPr>
        <xdr:cNvSpPr>
          <a:spLocks noChangeArrowheads="1" noChangeShapeType="1" noTextEdit="1"/>
        </xdr:cNvSpPr>
      </xdr:nvSpPr>
      <xdr:spPr bwMode="auto">
        <a:xfrm>
          <a:off x="5362575" y="4295775"/>
          <a:ext cx="809625" cy="238125"/>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00"/>
                </a:solidFill>
                <a:round/>
                <a:headEnd/>
                <a:tailEnd/>
              </a:ln>
              <a:solidFill>
                <a:srgbClr val="000000"/>
              </a:solidFill>
              <a:effectLst/>
              <a:latin typeface="ＭＳ Ｐ明朝"/>
              <a:ea typeface="ＭＳ Ｐ明朝"/>
            </a:rPr>
            <a:t>必要書類</a:t>
          </a:r>
        </a:p>
      </xdr:txBody>
    </xdr:sp>
    <xdr:clientData/>
  </xdr:twoCellAnchor>
  <xdr:twoCellAnchor>
    <xdr:from>
      <xdr:col>3</xdr:col>
      <xdr:colOff>501650</xdr:colOff>
      <xdr:row>34</xdr:row>
      <xdr:rowOff>38100</xdr:rowOff>
    </xdr:from>
    <xdr:to>
      <xdr:col>3</xdr:col>
      <xdr:colOff>615950</xdr:colOff>
      <xdr:row>34</xdr:row>
      <xdr:rowOff>139700</xdr:rowOff>
    </xdr:to>
    <xdr:sp macro="" textlink="">
      <xdr:nvSpPr>
        <xdr:cNvPr id="46481" name="AutoShape 12">
          <a:extLst>
            <a:ext uri="{FF2B5EF4-FFF2-40B4-BE49-F238E27FC236}">
              <a16:creationId xmlns:a16="http://schemas.microsoft.com/office/drawing/2014/main" id="{1E9AB76E-79E0-7BFF-C18F-9FBE300CB73A}"/>
            </a:ext>
          </a:extLst>
        </xdr:cNvPr>
        <xdr:cNvSpPr>
          <a:spLocks noChangeArrowheads="1"/>
        </xdr:cNvSpPr>
      </xdr:nvSpPr>
      <xdr:spPr bwMode="auto">
        <a:xfrm>
          <a:off x="1162050" y="69024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4</xdr:col>
      <xdr:colOff>558800</xdr:colOff>
      <xdr:row>39</xdr:row>
      <xdr:rowOff>19050</xdr:rowOff>
    </xdr:from>
    <xdr:to>
      <xdr:col>4</xdr:col>
      <xdr:colOff>1038266</xdr:colOff>
      <xdr:row>39</xdr:row>
      <xdr:rowOff>146050</xdr:rowOff>
    </xdr:to>
    <xdr:sp macro="" textlink="">
      <xdr:nvSpPr>
        <xdr:cNvPr id="8" name="WordArt 13">
          <a:extLst>
            <a:ext uri="{FF2B5EF4-FFF2-40B4-BE49-F238E27FC236}">
              <a16:creationId xmlns:a16="http://schemas.microsoft.com/office/drawing/2014/main" id="{FE8C4177-CCC9-12ED-6774-96CBE46951B5}"/>
            </a:ext>
          </a:extLst>
        </xdr:cNvPr>
        <xdr:cNvSpPr>
          <a:spLocks noChangeArrowheads="1" noChangeShapeType="1" noTextEdit="1"/>
        </xdr:cNvSpPr>
      </xdr:nvSpPr>
      <xdr:spPr bwMode="auto">
        <a:xfrm>
          <a:off x="2181225" y="7953375"/>
          <a:ext cx="523875" cy="133350"/>
        </a:xfrm>
        <a:prstGeom prst="rect">
          <a:avLst/>
        </a:prstGeom>
      </xdr:spPr>
      <xdr:txBody>
        <a:bodyPr wrap="none" fromWordArt="1">
          <a:prstTxWarp prst="textPlain">
            <a:avLst>
              <a:gd name="adj" fmla="val 50000"/>
            </a:avLst>
          </a:prstTxWarp>
        </a:bodyPr>
        <a:lstStyle/>
        <a:p>
          <a:pPr algn="ctr" rtl="0"/>
          <a:r>
            <a:rPr lang="ja-JP" altLang="en-US" sz="3600" kern="10" spc="0">
              <a:ln w="9525">
                <a:solidFill>
                  <a:srgbClr val="0000FF"/>
                </a:solidFill>
                <a:round/>
                <a:headEnd/>
                <a:tailEnd/>
              </a:ln>
              <a:solidFill>
                <a:srgbClr val="000000"/>
              </a:solidFill>
              <a:effectLst/>
              <a:latin typeface="ＭＳ Ｐ明朝"/>
              <a:ea typeface="ＭＳ Ｐ明朝"/>
            </a:rPr>
            <a:t>電信扱い</a:t>
          </a:r>
        </a:p>
      </xdr:txBody>
    </xdr:sp>
    <xdr:clientData/>
  </xdr:twoCellAnchor>
  <xdr:twoCellAnchor>
    <xdr:from>
      <xdr:col>11</xdr:col>
      <xdr:colOff>50800</xdr:colOff>
      <xdr:row>38</xdr:row>
      <xdr:rowOff>57150</xdr:rowOff>
    </xdr:from>
    <xdr:to>
      <xdr:col>13</xdr:col>
      <xdr:colOff>400050</xdr:colOff>
      <xdr:row>48</xdr:row>
      <xdr:rowOff>82550</xdr:rowOff>
    </xdr:to>
    <xdr:sp macro="" textlink="">
      <xdr:nvSpPr>
        <xdr:cNvPr id="46483" name="AutoShape 14">
          <a:extLst>
            <a:ext uri="{FF2B5EF4-FFF2-40B4-BE49-F238E27FC236}">
              <a16:creationId xmlns:a16="http://schemas.microsoft.com/office/drawing/2014/main" id="{21B576EC-D628-F777-1512-CD7B3281096E}"/>
            </a:ext>
          </a:extLst>
        </xdr:cNvPr>
        <xdr:cNvSpPr>
          <a:spLocks noChangeArrowheads="1"/>
        </xdr:cNvSpPr>
      </xdr:nvSpPr>
      <xdr:spPr bwMode="auto">
        <a:xfrm>
          <a:off x="4140200" y="7702550"/>
          <a:ext cx="2444750" cy="1682750"/>
        </a:xfrm>
        <a:prstGeom prst="verticalScroll">
          <a:avLst>
            <a:gd name="adj" fmla="val 12500"/>
          </a:avLst>
        </a:prstGeom>
        <a:solidFill>
          <a:srgbClr val="99FF99"/>
        </a:solidFill>
        <a:ln w="9525">
          <a:solidFill>
            <a:srgbClr val="000000"/>
          </a:solidFill>
          <a:round/>
          <a:headEnd/>
          <a:tailEnd/>
        </a:ln>
      </xdr:spPr>
    </xdr:sp>
    <xdr:clientData/>
  </xdr:twoCellAnchor>
  <xdr:twoCellAnchor>
    <xdr:from>
      <xdr:col>11</xdr:col>
      <xdr:colOff>228600</xdr:colOff>
      <xdr:row>39</xdr:row>
      <xdr:rowOff>38100</xdr:rowOff>
    </xdr:from>
    <xdr:to>
      <xdr:col>12</xdr:col>
      <xdr:colOff>330200</xdr:colOff>
      <xdr:row>41</xdr:row>
      <xdr:rowOff>76200</xdr:rowOff>
    </xdr:to>
    <xdr:sp macro="" textlink="">
      <xdr:nvSpPr>
        <xdr:cNvPr id="10" name="WordArt 15">
          <a:extLst>
            <a:ext uri="{FF2B5EF4-FFF2-40B4-BE49-F238E27FC236}">
              <a16:creationId xmlns:a16="http://schemas.microsoft.com/office/drawing/2014/main" id="{CBE16DBE-7D49-677C-F511-C15137AAA98B}"/>
            </a:ext>
          </a:extLst>
        </xdr:cNvPr>
        <xdr:cNvSpPr>
          <a:spLocks noChangeArrowheads="1" noChangeShapeType="1"/>
        </xdr:cNvSpPr>
      </xdr:nvSpPr>
      <xdr:spPr bwMode="auto">
        <a:xfrm>
          <a:off x="4714875" y="7972425"/>
          <a:ext cx="809625" cy="390525"/>
        </a:xfrm>
        <a:prstGeom prst="rect">
          <a:avLst/>
        </a:prstGeom>
        <a:noFill/>
        <a:ln>
          <a:noFill/>
        </a:ln>
      </xdr:spPr>
      <xdr:txBody>
        <a:bodyPr vertOverflow="clip" wrap="square" lIns="27432" tIns="18288" rIns="27432" bIns="0" anchor="t"/>
        <a:lstStyle/>
        <a:p>
          <a:pPr algn="ctr" rtl="0">
            <a:lnSpc>
              <a:spcPts val="1200"/>
            </a:lnSpc>
            <a:defRPr sz="1000"/>
          </a:pPr>
          <a:r>
            <a:rPr lang="ja-JP" altLang="en-US" sz="1100" b="1" i="0" u="none" strike="noStrike" baseline="0">
              <a:solidFill>
                <a:srgbClr val="000000"/>
              </a:solidFill>
              <a:latin typeface="ＭＳ Ｐゴシック"/>
              <a:ea typeface="ＭＳ Ｐゴシック"/>
            </a:rPr>
            <a:t>                                                                          〈振込先〉</a:t>
          </a:r>
        </a:p>
      </xdr:txBody>
    </xdr:sp>
    <xdr:clientData/>
  </xdr:twoCellAnchor>
  <xdr:twoCellAnchor>
    <xdr:from>
      <xdr:col>11</xdr:col>
      <xdr:colOff>250825</xdr:colOff>
      <xdr:row>42</xdr:row>
      <xdr:rowOff>38100</xdr:rowOff>
    </xdr:from>
    <xdr:to>
      <xdr:col>13</xdr:col>
      <xdr:colOff>228610</xdr:colOff>
      <xdr:row>45</xdr:row>
      <xdr:rowOff>136558</xdr:rowOff>
    </xdr:to>
    <xdr:sp macro="" textlink="">
      <xdr:nvSpPr>
        <xdr:cNvPr id="11" name="WordArt 16">
          <a:extLst>
            <a:ext uri="{FF2B5EF4-FFF2-40B4-BE49-F238E27FC236}">
              <a16:creationId xmlns:a16="http://schemas.microsoft.com/office/drawing/2014/main" id="{70668EE5-630D-CB8C-1505-CD21C3B8682F}"/>
            </a:ext>
          </a:extLst>
        </xdr:cNvPr>
        <xdr:cNvSpPr>
          <a:spLocks noChangeArrowheads="1" noChangeShapeType="1"/>
        </xdr:cNvSpPr>
      </xdr:nvSpPr>
      <xdr:spPr bwMode="auto">
        <a:xfrm>
          <a:off x="4743450" y="8496300"/>
          <a:ext cx="2257425" cy="619125"/>
        </a:xfrm>
        <a:prstGeom prst="rect">
          <a:avLst/>
        </a:prstGeom>
        <a:noFill/>
        <a:ln>
          <a:noFill/>
        </a:ln>
      </xdr:spPr>
      <xdr:txBody>
        <a:bodyPr vertOverflow="clip" wrap="square" lIns="27432" tIns="18288" rIns="27432" bIns="0" anchor="t"/>
        <a:lstStyle/>
        <a:p>
          <a:pPr algn="ctr" rtl="0">
            <a:lnSpc>
              <a:spcPts val="1400"/>
            </a:lnSpc>
            <a:defRPr sz="1000"/>
          </a:pPr>
          <a:r>
            <a:rPr lang="ja-JP" altLang="en-US" sz="1200" b="1" i="0" u="none" strike="noStrike" baseline="0">
              <a:solidFill>
                <a:srgbClr val="000000"/>
              </a:solidFill>
              <a:latin typeface="ＭＳ Ｐ明朝"/>
              <a:ea typeface="ＭＳ Ｐ明朝"/>
            </a:rPr>
            <a:t>関西みらい銀行･心斎橋営業部</a:t>
          </a:r>
        </a:p>
        <a:p>
          <a:pPr algn="ctr" rtl="0">
            <a:lnSpc>
              <a:spcPts val="1400"/>
            </a:lnSpc>
            <a:defRPr sz="1000"/>
          </a:pPr>
          <a:r>
            <a:rPr lang="ja-JP" altLang="en-US" sz="1200" b="1" i="0" u="none" strike="noStrike" baseline="0">
              <a:solidFill>
                <a:srgbClr val="000000"/>
              </a:solidFill>
              <a:latin typeface="ＭＳ Ｐ明朝"/>
              <a:ea typeface="ＭＳ Ｐ明朝"/>
            </a:rPr>
            <a:t>普通口座　</a:t>
          </a:r>
          <a:r>
            <a:rPr lang="en-US" altLang="ja-JP" sz="1200" b="1" i="0" u="none" strike="noStrike" baseline="0">
              <a:solidFill>
                <a:srgbClr val="000000"/>
              </a:solidFill>
              <a:latin typeface="ＭＳ Ｐ明朝"/>
              <a:ea typeface="ＭＳ Ｐ明朝"/>
            </a:rPr>
            <a:t>0012789</a:t>
          </a:r>
        </a:p>
        <a:p>
          <a:pPr algn="ctr" rtl="0">
            <a:lnSpc>
              <a:spcPts val="1400"/>
            </a:lnSpc>
            <a:defRPr sz="1000"/>
          </a:pPr>
          <a:r>
            <a:rPr lang="ja-JP" altLang="en-US" sz="1200" b="1" i="0" u="none" strike="noStrike" baseline="0">
              <a:solidFill>
                <a:srgbClr val="000000"/>
              </a:solidFill>
              <a:latin typeface="ＭＳ Ｐ明朝"/>
              <a:ea typeface="ＭＳ Ｐ明朝"/>
            </a:rPr>
            <a:t>カ)ユニティエール</a:t>
          </a:r>
        </a:p>
      </xdr:txBody>
    </xdr:sp>
    <xdr:clientData/>
  </xdr:twoCellAnchor>
  <xdr:twoCellAnchor>
    <xdr:from>
      <xdr:col>11</xdr:col>
      <xdr:colOff>403225</xdr:colOff>
      <xdr:row>46</xdr:row>
      <xdr:rowOff>19050</xdr:rowOff>
    </xdr:from>
    <xdr:to>
      <xdr:col>13</xdr:col>
      <xdr:colOff>31822</xdr:colOff>
      <xdr:row>47</xdr:row>
      <xdr:rowOff>146050</xdr:rowOff>
    </xdr:to>
    <xdr:sp macro="" textlink="">
      <xdr:nvSpPr>
        <xdr:cNvPr id="12" name="WordArt 18">
          <a:extLst>
            <a:ext uri="{FF2B5EF4-FFF2-40B4-BE49-F238E27FC236}">
              <a16:creationId xmlns:a16="http://schemas.microsoft.com/office/drawing/2014/main" id="{CA945CF9-3556-352E-0C63-FE6546158B89}"/>
            </a:ext>
          </a:extLst>
        </xdr:cNvPr>
        <xdr:cNvSpPr>
          <a:spLocks noChangeArrowheads="1" noChangeShapeType="1"/>
        </xdr:cNvSpPr>
      </xdr:nvSpPr>
      <xdr:spPr bwMode="auto">
        <a:xfrm>
          <a:off x="4914900" y="9163050"/>
          <a:ext cx="1876425" cy="304800"/>
        </a:xfrm>
        <a:prstGeom prst="rect">
          <a:avLst/>
        </a:prstGeom>
        <a:noFill/>
        <a:ln>
          <a:noFill/>
        </a:ln>
      </xdr:spPr>
      <xdr:txBody>
        <a:bodyPr vertOverflow="clip" wrap="square" lIns="36576" tIns="22860" rIns="36576" bIns="0" anchor="t"/>
        <a:lstStyle/>
        <a:p>
          <a:pPr algn="ctr" rtl="0">
            <a:defRPr sz="1000"/>
          </a:pPr>
          <a:r>
            <a:rPr lang="ja-JP" altLang="en-US" sz="1200" b="1" i="0" u="none" strike="noStrike" baseline="0">
              <a:solidFill>
                <a:srgbClr val="000000"/>
              </a:solidFill>
              <a:latin typeface="ＭＳ Ｐ明朝"/>
              <a:ea typeface="ＭＳ Ｐ明朝"/>
            </a:rPr>
            <a:t>株式会社ユニティエール</a:t>
          </a:r>
        </a:p>
      </xdr:txBody>
    </xdr:sp>
    <xdr:clientData/>
  </xdr:twoCellAnchor>
  <xdr:twoCellAnchor>
    <xdr:from>
      <xdr:col>1</xdr:col>
      <xdr:colOff>92075</xdr:colOff>
      <xdr:row>40</xdr:row>
      <xdr:rowOff>165100</xdr:rowOff>
    </xdr:from>
    <xdr:to>
      <xdr:col>4</xdr:col>
      <xdr:colOff>1019175</xdr:colOff>
      <xdr:row>42</xdr:row>
      <xdr:rowOff>38100</xdr:rowOff>
    </xdr:to>
    <xdr:sp macro="" textlink="">
      <xdr:nvSpPr>
        <xdr:cNvPr id="13" name="WordArt 19">
          <a:extLst>
            <a:ext uri="{FF2B5EF4-FFF2-40B4-BE49-F238E27FC236}">
              <a16:creationId xmlns:a16="http://schemas.microsoft.com/office/drawing/2014/main" id="{96E8AB19-C00A-2436-C431-4F7A4CBB4228}"/>
            </a:ext>
          </a:extLst>
        </xdr:cNvPr>
        <xdr:cNvSpPr>
          <a:spLocks noChangeArrowheads="1" noChangeShapeType="1"/>
        </xdr:cNvSpPr>
      </xdr:nvSpPr>
      <xdr:spPr bwMode="auto">
        <a:xfrm>
          <a:off x="371475" y="8277225"/>
          <a:ext cx="2314575" cy="2190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ゴシック"/>
              <a:ea typeface="ＭＳ Ｐゴシック"/>
            </a:rPr>
            <a:t>大阪府知事（</a:t>
          </a:r>
          <a:r>
            <a:rPr lang="en-US" altLang="ja-JP" sz="1100" b="1" i="0" u="none" strike="noStrike" baseline="0">
              <a:solidFill>
                <a:srgbClr val="000000"/>
              </a:solidFill>
              <a:latin typeface="ＭＳ Ｐゴシック"/>
              <a:ea typeface="ＭＳ Ｐゴシック"/>
            </a:rPr>
            <a:t>1</a:t>
          </a:r>
          <a:r>
            <a:rPr lang="ja-JP" altLang="en-US" sz="1100" b="1" i="0" u="none" strike="noStrike" baseline="0">
              <a:solidFill>
                <a:srgbClr val="000000"/>
              </a:solidFill>
              <a:latin typeface="ＭＳ Ｐゴシック"/>
              <a:ea typeface="ＭＳ Ｐゴシック"/>
            </a:rPr>
            <a:t>）第</a:t>
          </a:r>
          <a:r>
            <a:rPr lang="en-US" altLang="ja-JP" sz="1100" b="1" i="0" u="none" strike="noStrike" baseline="0">
              <a:solidFill>
                <a:srgbClr val="000000"/>
              </a:solidFill>
              <a:latin typeface="ＭＳ Ｐゴシック"/>
              <a:ea typeface="ＭＳ Ｐゴシック"/>
            </a:rPr>
            <a:t>60577</a:t>
          </a:r>
          <a:r>
            <a:rPr lang="ja-JP" altLang="en-US" sz="1100" b="1" i="0" u="none" strike="noStrike" baseline="0">
              <a:solidFill>
                <a:srgbClr val="000000"/>
              </a:solidFill>
              <a:latin typeface="ＭＳ Ｐゴシック"/>
              <a:ea typeface="ＭＳ Ｐゴシック"/>
            </a:rPr>
            <a:t>号</a:t>
          </a:r>
        </a:p>
      </xdr:txBody>
    </xdr:sp>
    <xdr:clientData/>
  </xdr:twoCellAnchor>
  <xdr:twoCellAnchor>
    <xdr:from>
      <xdr:col>3</xdr:col>
      <xdr:colOff>311149</xdr:colOff>
      <xdr:row>43</xdr:row>
      <xdr:rowOff>155575</xdr:rowOff>
    </xdr:from>
    <xdr:to>
      <xdr:col>10</xdr:col>
      <xdr:colOff>142861</xdr:colOff>
      <xdr:row>45</xdr:row>
      <xdr:rowOff>76284</xdr:rowOff>
    </xdr:to>
    <xdr:sp macro="" textlink="">
      <xdr:nvSpPr>
        <xdr:cNvPr id="14" name="WordArt 20">
          <a:extLst>
            <a:ext uri="{FF2B5EF4-FFF2-40B4-BE49-F238E27FC236}">
              <a16:creationId xmlns:a16="http://schemas.microsoft.com/office/drawing/2014/main" id="{282039B5-A9D8-245B-EF68-6505576426C3}"/>
            </a:ext>
          </a:extLst>
        </xdr:cNvPr>
        <xdr:cNvSpPr>
          <a:spLocks noChangeArrowheads="1" noChangeShapeType="1"/>
        </xdr:cNvSpPr>
      </xdr:nvSpPr>
      <xdr:spPr bwMode="auto">
        <a:xfrm>
          <a:off x="1066799" y="8791575"/>
          <a:ext cx="3362325" cy="257175"/>
        </a:xfrm>
        <a:prstGeom prst="rect">
          <a:avLst/>
        </a:prstGeom>
        <a:noFill/>
        <a:ln>
          <a:noFill/>
        </a:ln>
      </xdr:spPr>
      <xdr:txBody>
        <a:bodyPr vertOverflow="clip" wrap="square" lIns="36576" tIns="18288" rIns="36576" bIns="0" anchor="t"/>
        <a:lstStyle/>
        <a:p>
          <a:pPr rtl="0"/>
          <a:r>
            <a:rPr lang="ja-JP" altLang="ja-JP" sz="1100" b="1" i="0" baseline="0">
              <a:effectLst/>
              <a:latin typeface="+mn-lt"/>
              <a:ea typeface="+mn-ea"/>
              <a:cs typeface="+mn-cs"/>
            </a:rPr>
            <a:t>株式会社 </a:t>
          </a:r>
          <a:r>
            <a:rPr lang="ja-JP" altLang="en-US" sz="1100" b="1" i="0" baseline="0">
              <a:effectLst/>
              <a:latin typeface="+mn-lt"/>
              <a:ea typeface="+mn-ea"/>
              <a:cs typeface="+mn-cs"/>
            </a:rPr>
            <a:t>ユニティエール</a:t>
          </a:r>
          <a:r>
            <a:rPr lang="ja-JP" altLang="ja-JP" sz="1100" b="1" i="0" baseline="0">
              <a:effectLst/>
              <a:latin typeface="+mn-lt"/>
              <a:ea typeface="+mn-ea"/>
              <a:cs typeface="+mn-cs"/>
            </a:rPr>
            <a:t>　　　〈 担当：</a:t>
          </a:r>
          <a:r>
            <a:rPr lang="en-US" altLang="ja-JP" sz="1100" b="1" i="0" baseline="0">
              <a:effectLst/>
              <a:latin typeface="+mn-lt"/>
              <a:ea typeface="+mn-ea"/>
              <a:cs typeface="+mn-cs"/>
            </a:rPr>
            <a:t>〉</a:t>
          </a:r>
          <a:r>
            <a:rPr lang="ja-JP" altLang="ja-JP" sz="1100" b="1" i="0" baseline="0">
              <a:effectLst/>
              <a:latin typeface="+mn-lt"/>
              <a:ea typeface="+mn-ea"/>
              <a:cs typeface="+mn-cs"/>
            </a:rPr>
            <a:t>   </a:t>
          </a:r>
          <a:endParaRPr lang="ja-JP" altLang="ja-JP">
            <a:effectLst/>
          </a:endParaRPr>
        </a:p>
        <a:p>
          <a:pPr algn="ctr" rtl="0">
            <a:defRPr sz="1000"/>
          </a:pPr>
          <a:endParaRPr lang="ja-JP" altLang="en-US" sz="1100" b="1" i="0" u="none" strike="noStrike" baseline="0">
            <a:solidFill>
              <a:srgbClr val="000000"/>
            </a:solidFill>
            <a:latin typeface="ＭＳ Ｐゴシック"/>
            <a:ea typeface="ＭＳ Ｐゴシック"/>
          </a:endParaRPr>
        </a:p>
      </xdr:txBody>
    </xdr:sp>
    <xdr:clientData/>
  </xdr:twoCellAnchor>
  <xdr:twoCellAnchor>
    <xdr:from>
      <xdr:col>4</xdr:col>
      <xdr:colOff>298450</xdr:colOff>
      <xdr:row>45</xdr:row>
      <xdr:rowOff>22225</xdr:rowOff>
    </xdr:from>
    <xdr:to>
      <xdr:col>11</xdr:col>
      <xdr:colOff>139700</xdr:colOff>
      <xdr:row>46</xdr:row>
      <xdr:rowOff>107950</xdr:rowOff>
    </xdr:to>
    <xdr:sp macro="" textlink="">
      <xdr:nvSpPr>
        <xdr:cNvPr id="16" name="WordArt 23">
          <a:extLst>
            <a:ext uri="{FF2B5EF4-FFF2-40B4-BE49-F238E27FC236}">
              <a16:creationId xmlns:a16="http://schemas.microsoft.com/office/drawing/2014/main" id="{345B8620-27DD-46BE-6B72-8833D969392A}"/>
            </a:ext>
          </a:extLst>
        </xdr:cNvPr>
        <xdr:cNvSpPr>
          <a:spLocks noChangeArrowheads="1" noChangeShapeType="1"/>
        </xdr:cNvSpPr>
      </xdr:nvSpPr>
      <xdr:spPr bwMode="auto">
        <a:xfrm>
          <a:off x="1895475" y="9001125"/>
          <a:ext cx="2724150" cy="257175"/>
        </a:xfrm>
        <a:prstGeom prst="rect">
          <a:avLst/>
        </a:prstGeom>
        <a:noFill/>
        <a:ln>
          <a:noFill/>
        </a:ln>
      </xdr:spPr>
      <xdr:txBody>
        <a:bodyPr vertOverflow="clip" wrap="square" lIns="36576" tIns="18288" rIns="36576" bIns="0" anchor="t"/>
        <a:lstStyle/>
        <a:p>
          <a:pPr algn="ctr" rtl="0">
            <a:defRPr sz="1000"/>
          </a:pPr>
          <a:r>
            <a:rPr lang="ja-JP" altLang="en-US" sz="1200" b="1" i="0" u="none" strike="noStrike" baseline="0">
              <a:solidFill>
                <a:srgbClr val="000000"/>
              </a:solidFill>
              <a:latin typeface="ＭＳ Ｐゴシック"/>
              <a:ea typeface="ＭＳ Ｐゴシック"/>
            </a:rPr>
            <a:t>大阪心斎橋店</a:t>
          </a:r>
        </a:p>
      </xdr:txBody>
    </xdr:sp>
    <xdr:clientData/>
  </xdr:twoCellAnchor>
  <xdr:twoCellAnchor>
    <xdr:from>
      <xdr:col>13</xdr:col>
      <xdr:colOff>403225</xdr:colOff>
      <xdr:row>8</xdr:row>
      <xdr:rowOff>22225</xdr:rowOff>
    </xdr:from>
    <xdr:to>
      <xdr:col>13</xdr:col>
      <xdr:colOff>542925</xdr:colOff>
      <xdr:row>8</xdr:row>
      <xdr:rowOff>171594</xdr:rowOff>
    </xdr:to>
    <xdr:sp macro="" textlink="">
      <xdr:nvSpPr>
        <xdr:cNvPr id="17" name="WordArt 25">
          <a:extLst>
            <a:ext uri="{FF2B5EF4-FFF2-40B4-BE49-F238E27FC236}">
              <a16:creationId xmlns:a16="http://schemas.microsoft.com/office/drawing/2014/main" id="{FE0479C8-2A17-27E1-5378-871BF08AD3EF}"/>
            </a:ext>
          </a:extLst>
        </xdr:cNvPr>
        <xdr:cNvSpPr>
          <a:spLocks noChangeArrowheads="1" noChangeShapeType="1" noTextEdit="1"/>
        </xdr:cNvSpPr>
      </xdr:nvSpPr>
      <xdr:spPr bwMode="auto">
        <a:xfrm>
          <a:off x="7200900" y="1533525"/>
          <a:ext cx="152400" cy="142875"/>
        </a:xfrm>
        <a:prstGeom prst="rect">
          <a:avLst/>
        </a:prstGeom>
      </xdr:spPr>
      <xdr:txBody>
        <a:bodyPr wrap="none" fromWordArt="1">
          <a:prstTxWarp prst="textPlain">
            <a:avLst>
              <a:gd name="adj" fmla="val 50000"/>
            </a:avLst>
          </a:prstTxWarp>
        </a:bodyPr>
        <a:lstStyle/>
        <a:p>
          <a:pPr algn="ctr" rtl="0"/>
          <a:r>
            <a:rPr lang="ja-JP" altLang="en-US" sz="1200" kern="10" spc="0">
              <a:ln w="9525">
                <a:solidFill>
                  <a:srgbClr val="000000"/>
                </a:solidFill>
                <a:round/>
                <a:headEnd/>
                <a:tailEnd/>
              </a:ln>
              <a:solidFill>
                <a:srgbClr val="000000"/>
              </a:solidFill>
              <a:effectLst/>
              <a:latin typeface="ＭＳ Ｐゴシック"/>
              <a:ea typeface="ＭＳ Ｐゴシック"/>
            </a:rPr>
            <a:t>号室</a:t>
          </a:r>
        </a:p>
      </xdr:txBody>
    </xdr:sp>
    <xdr:clientData/>
  </xdr:twoCellAnchor>
  <xdr:twoCellAnchor>
    <xdr:from>
      <xdr:col>11</xdr:col>
      <xdr:colOff>473075</xdr:colOff>
      <xdr:row>22</xdr:row>
      <xdr:rowOff>22225</xdr:rowOff>
    </xdr:from>
    <xdr:to>
      <xdr:col>12</xdr:col>
      <xdr:colOff>180975</xdr:colOff>
      <xdr:row>22</xdr:row>
      <xdr:rowOff>209663</xdr:rowOff>
    </xdr:to>
    <xdr:sp macro="" textlink="">
      <xdr:nvSpPr>
        <xdr:cNvPr id="18" name="WordArt 51">
          <a:extLst>
            <a:ext uri="{FF2B5EF4-FFF2-40B4-BE49-F238E27FC236}">
              <a16:creationId xmlns:a16="http://schemas.microsoft.com/office/drawing/2014/main" id="{ECE314B3-BA3C-FD0B-DA2B-094080987185}"/>
            </a:ext>
          </a:extLst>
        </xdr:cNvPr>
        <xdr:cNvSpPr>
          <a:spLocks noChangeArrowheads="1" noChangeShapeType="1" noTextEdit="1"/>
        </xdr:cNvSpPr>
      </xdr:nvSpPr>
      <xdr:spPr bwMode="auto">
        <a:xfrm>
          <a:off x="4991100" y="4600575"/>
          <a:ext cx="371475" cy="180975"/>
        </a:xfrm>
        <a:prstGeom prst="rect">
          <a:avLst/>
        </a:prstGeom>
      </xdr:spPr>
      <xdr:txBody>
        <a:bodyPr wrap="none" fromWordArt="1">
          <a:prstTxWarp prst="textPlain">
            <a:avLst>
              <a:gd name="adj" fmla="val 48718"/>
            </a:avLst>
          </a:prstTxWarp>
        </a:bodyPr>
        <a:lstStyle/>
        <a:p>
          <a:pPr algn="ctr" rtl="0"/>
          <a:r>
            <a:rPr lang="ja-JP" altLang="en-US" sz="1000" kern="10" spc="0">
              <a:ln w="9525">
                <a:solidFill>
                  <a:srgbClr val="000000"/>
                </a:solidFill>
                <a:round/>
                <a:headEnd/>
                <a:tailEnd/>
              </a:ln>
              <a:solidFill>
                <a:srgbClr val="000000"/>
              </a:solidFill>
              <a:effectLst/>
              <a:latin typeface="ＭＳ Ｐゴシック"/>
              <a:ea typeface="ＭＳ Ｐゴシック"/>
            </a:rPr>
            <a:t>契約者</a:t>
          </a:r>
        </a:p>
      </xdr:txBody>
    </xdr:sp>
    <xdr:clientData/>
  </xdr:twoCellAnchor>
  <xdr:twoCellAnchor>
    <xdr:from>
      <xdr:col>11</xdr:col>
      <xdr:colOff>400050</xdr:colOff>
      <xdr:row>32</xdr:row>
      <xdr:rowOff>28575</xdr:rowOff>
    </xdr:from>
    <xdr:to>
      <xdr:col>12</xdr:col>
      <xdr:colOff>107950</xdr:colOff>
      <xdr:row>32</xdr:row>
      <xdr:rowOff>171450</xdr:rowOff>
    </xdr:to>
    <xdr:sp macro="" textlink="">
      <xdr:nvSpPr>
        <xdr:cNvPr id="19" name="WordArt 52">
          <a:extLst>
            <a:ext uri="{FF2B5EF4-FFF2-40B4-BE49-F238E27FC236}">
              <a16:creationId xmlns:a16="http://schemas.microsoft.com/office/drawing/2014/main" id="{955E99CD-2FC4-F299-3E51-E53CAD6D0C98}"/>
            </a:ext>
          </a:extLst>
        </xdr:cNvPr>
        <xdr:cNvSpPr>
          <a:spLocks noChangeArrowheads="1" noChangeShapeType="1" noTextEdit="1"/>
        </xdr:cNvSpPr>
      </xdr:nvSpPr>
      <xdr:spPr bwMode="auto">
        <a:xfrm>
          <a:off x="4905375" y="6791325"/>
          <a:ext cx="371475" cy="142875"/>
        </a:xfrm>
        <a:prstGeom prst="rect">
          <a:avLst/>
        </a:prstGeom>
      </xdr:spPr>
      <xdr:txBody>
        <a:bodyPr wrap="none" fromWordArt="1">
          <a:prstTxWarp prst="textPlain">
            <a:avLst>
              <a:gd name="adj" fmla="val 50000"/>
            </a:avLst>
          </a:prstTxWarp>
        </a:bodyPr>
        <a:lstStyle/>
        <a:p>
          <a:pPr algn="ctr" rtl="0"/>
          <a:r>
            <a:rPr lang="ja-JP" altLang="en-US" sz="1000" kern="10" spc="0">
              <a:ln w="9525">
                <a:solidFill>
                  <a:srgbClr val="000000"/>
                </a:solidFill>
                <a:round/>
                <a:headEnd/>
                <a:tailEnd/>
              </a:ln>
              <a:solidFill>
                <a:srgbClr val="000000"/>
              </a:solidFill>
              <a:effectLst/>
              <a:latin typeface="ＭＳ Ｐゴシック"/>
              <a:ea typeface="ＭＳ Ｐゴシック"/>
            </a:rPr>
            <a:t>保証人</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20" name="WordArt 61">
          <a:extLst>
            <a:ext uri="{FF2B5EF4-FFF2-40B4-BE49-F238E27FC236}">
              <a16:creationId xmlns:a16="http://schemas.microsoft.com/office/drawing/2014/main" id="{AE9408B1-32CB-CC32-A5C6-DEE26B9B73CD}"/>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21</xdr:row>
      <xdr:rowOff>95250</xdr:rowOff>
    </xdr:from>
    <xdr:to>
      <xdr:col>6</xdr:col>
      <xdr:colOff>23813</xdr:colOff>
      <xdr:row>21</xdr:row>
      <xdr:rowOff>174852</xdr:rowOff>
    </xdr:to>
    <xdr:sp macro="" textlink="">
      <xdr:nvSpPr>
        <xdr:cNvPr id="21" name="WordArt 77">
          <a:extLst>
            <a:ext uri="{FF2B5EF4-FFF2-40B4-BE49-F238E27FC236}">
              <a16:creationId xmlns:a16="http://schemas.microsoft.com/office/drawing/2014/main" id="{DD457CF6-868B-FFA0-C623-D699FC3BE735}"/>
            </a:ext>
          </a:extLst>
        </xdr:cNvPr>
        <xdr:cNvSpPr>
          <a:spLocks noChangeArrowheads="1" noChangeShapeType="1" noTextEdit="1"/>
        </xdr:cNvSpPr>
      </xdr:nvSpPr>
      <xdr:spPr bwMode="auto">
        <a:xfrm>
          <a:off x="3162300" y="44481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3</xdr:col>
      <xdr:colOff>501650</xdr:colOff>
      <xdr:row>34</xdr:row>
      <xdr:rowOff>50800</xdr:rowOff>
    </xdr:from>
    <xdr:to>
      <xdr:col>3</xdr:col>
      <xdr:colOff>603250</xdr:colOff>
      <xdr:row>34</xdr:row>
      <xdr:rowOff>146050</xdr:rowOff>
    </xdr:to>
    <xdr:sp macro="" textlink="">
      <xdr:nvSpPr>
        <xdr:cNvPr id="46495" name="AutoShape 80">
          <a:extLst>
            <a:ext uri="{FF2B5EF4-FFF2-40B4-BE49-F238E27FC236}">
              <a16:creationId xmlns:a16="http://schemas.microsoft.com/office/drawing/2014/main" id="{5E57DAAA-03BB-5425-2E8D-2CEA00AD1142}"/>
            </a:ext>
          </a:extLst>
        </xdr:cNvPr>
        <xdr:cNvSpPr>
          <a:spLocks noChangeArrowheads="1"/>
        </xdr:cNvSpPr>
      </xdr:nvSpPr>
      <xdr:spPr bwMode="auto">
        <a:xfrm flipH="1">
          <a:off x="1162050" y="6915150"/>
          <a:ext cx="101600" cy="9525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3</xdr:col>
      <xdr:colOff>501650</xdr:colOff>
      <xdr:row>35</xdr:row>
      <xdr:rowOff>38100</xdr:rowOff>
    </xdr:from>
    <xdr:to>
      <xdr:col>3</xdr:col>
      <xdr:colOff>615950</xdr:colOff>
      <xdr:row>35</xdr:row>
      <xdr:rowOff>139700</xdr:rowOff>
    </xdr:to>
    <xdr:sp macro="" textlink="">
      <xdr:nvSpPr>
        <xdr:cNvPr id="46496" name="AutoShape 81">
          <a:extLst>
            <a:ext uri="{FF2B5EF4-FFF2-40B4-BE49-F238E27FC236}">
              <a16:creationId xmlns:a16="http://schemas.microsoft.com/office/drawing/2014/main" id="{03A30AB4-6469-7185-3C11-8936C22EF882}"/>
            </a:ext>
          </a:extLst>
        </xdr:cNvPr>
        <xdr:cNvSpPr>
          <a:spLocks noChangeArrowheads="1"/>
        </xdr:cNvSpPr>
      </xdr:nvSpPr>
      <xdr:spPr bwMode="auto">
        <a:xfrm>
          <a:off x="1162050" y="7118350"/>
          <a:ext cx="114300" cy="101600"/>
        </a:xfrm>
        <a:prstGeom prst="triangle">
          <a:avLst>
            <a:gd name="adj" fmla="val 50000"/>
          </a:avLst>
        </a:prstGeom>
        <a:solidFill>
          <a:srgbClr val="000000"/>
        </a:solidFill>
        <a:ln w="9525">
          <a:solidFill>
            <a:srgbClr val="000000"/>
          </a:solidFill>
          <a:miter lim="800000"/>
          <a:headEnd/>
          <a:tailEnd/>
        </a:ln>
      </xdr:spPr>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24" name="WordArt 84">
          <a:extLst>
            <a:ext uri="{FF2B5EF4-FFF2-40B4-BE49-F238E27FC236}">
              <a16:creationId xmlns:a16="http://schemas.microsoft.com/office/drawing/2014/main" id="{AC937A31-DA55-060A-D8AD-C92B4648CD46}"/>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14</xdr:row>
      <xdr:rowOff>76200</xdr:rowOff>
    </xdr:from>
    <xdr:to>
      <xdr:col>6</xdr:col>
      <xdr:colOff>19685</xdr:colOff>
      <xdr:row>14</xdr:row>
      <xdr:rowOff>155802</xdr:rowOff>
    </xdr:to>
    <xdr:sp macro="" textlink="">
      <xdr:nvSpPr>
        <xdr:cNvPr id="25" name="WordArt 86">
          <a:extLst>
            <a:ext uri="{FF2B5EF4-FFF2-40B4-BE49-F238E27FC236}">
              <a16:creationId xmlns:a16="http://schemas.microsoft.com/office/drawing/2014/main" id="{3332F9AA-9DBB-34FF-80EC-7B7191216FE7}"/>
            </a:ext>
          </a:extLst>
        </xdr:cNvPr>
        <xdr:cNvSpPr>
          <a:spLocks noChangeArrowheads="1" noChangeShapeType="1" noTextEdit="1"/>
        </xdr:cNvSpPr>
      </xdr:nvSpPr>
      <xdr:spPr bwMode="auto">
        <a:xfrm>
          <a:off x="3171825" y="2895600"/>
          <a:ext cx="66675" cy="85725"/>
        </a:xfrm>
        <a:prstGeom prst="rect">
          <a:avLst/>
        </a:prstGeom>
      </xdr:spPr>
      <xdr:txBody>
        <a:bodyPr wrap="none" fromWordArt="1">
          <a:prstTxWarp prst="textPlain">
            <a:avLst>
              <a:gd name="adj" fmla="val 50000"/>
            </a:avLst>
          </a:prstTxWarp>
        </a:bodyPr>
        <a:lstStyle/>
        <a:p>
          <a:pPr algn="ctr" rtl="0"/>
          <a:endParaRPr lang="ja-JP" altLang="en-US" sz="800" kern="10" spc="0">
            <a:ln w="9525">
              <a:solidFill>
                <a:srgbClr val="000000"/>
              </a:solidFill>
              <a:round/>
              <a:headEnd/>
              <a:tailEnd/>
            </a:ln>
            <a:solidFill>
              <a:srgbClr val="000000"/>
            </a:solidFill>
            <a:effectLst/>
            <a:latin typeface="ＨＧｺﾞｼｯｸE-PRO"/>
          </a:endParaRPr>
        </a:p>
      </xdr:txBody>
    </xdr:sp>
    <xdr:clientData/>
  </xdr:twoCellAnchor>
  <mc:AlternateContent xmlns:mc="http://schemas.openxmlformats.org/markup-compatibility/2006">
    <mc:Choice xmlns:a14="http://schemas.microsoft.com/office/drawing/2010/main" Requires="a14">
      <xdr:twoCellAnchor editAs="oneCell">
        <xdr:from>
          <xdr:col>11</xdr:col>
          <xdr:colOff>0</xdr:colOff>
          <xdr:row>24</xdr:row>
          <xdr:rowOff>19050</xdr:rowOff>
        </xdr:from>
        <xdr:to>
          <xdr:col>12</xdr:col>
          <xdr:colOff>114300</xdr:colOff>
          <xdr:row>25</xdr:row>
          <xdr:rowOff>6350</xdr:rowOff>
        </xdr:to>
        <xdr:sp macro="" textlink="">
          <xdr:nvSpPr>
            <xdr:cNvPr id="25601" name="Check Box 1" hidden="1">
              <a:extLst>
                <a:ext uri="{63B3BB69-23CF-44E3-9099-C40C66FF867C}">
                  <a14:compatExt spid="_x0000_s25601"/>
                </a:ext>
                <a:ext uri="{FF2B5EF4-FFF2-40B4-BE49-F238E27FC236}">
                  <a16:creationId xmlns:a16="http://schemas.microsoft.com/office/drawing/2014/main" id="{243D93F8-0A7B-E7AA-FD7E-EF86765209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登記簿謄本</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26</xdr:row>
          <xdr:rowOff>0</xdr:rowOff>
        </xdr:from>
        <xdr:to>
          <xdr:col>12</xdr:col>
          <xdr:colOff>190500</xdr:colOff>
          <xdr:row>26</xdr:row>
          <xdr:rowOff>209550</xdr:rowOff>
        </xdr:to>
        <xdr:sp macro="" textlink="">
          <xdr:nvSpPr>
            <xdr:cNvPr id="25602" name="Check Box 2" hidden="1">
              <a:extLst>
                <a:ext uri="{63B3BB69-23CF-44E3-9099-C40C66FF867C}">
                  <a14:compatExt spid="_x0000_s25602"/>
                </a:ext>
                <a:ext uri="{FF2B5EF4-FFF2-40B4-BE49-F238E27FC236}">
                  <a16:creationId xmlns:a16="http://schemas.microsoft.com/office/drawing/2014/main" id="{9C078C97-FDB4-B970-2E2F-3DDA85330F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印鑑証明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0</xdr:rowOff>
        </xdr:from>
        <xdr:to>
          <xdr:col>12</xdr:col>
          <xdr:colOff>0</xdr:colOff>
          <xdr:row>25</xdr:row>
          <xdr:rowOff>209550</xdr:rowOff>
        </xdr:to>
        <xdr:sp macro="" textlink="">
          <xdr:nvSpPr>
            <xdr:cNvPr id="25603" name="Check Box 3" hidden="1">
              <a:extLst>
                <a:ext uri="{63B3BB69-23CF-44E3-9099-C40C66FF867C}">
                  <a14:compatExt spid="_x0000_s25603"/>
                </a:ext>
                <a:ext uri="{FF2B5EF4-FFF2-40B4-BE49-F238E27FC236}">
                  <a16:creationId xmlns:a16="http://schemas.microsoft.com/office/drawing/2014/main" id="{07D4C495-C214-9B1B-6E72-61C9D94D728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会社案内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24</xdr:row>
          <xdr:rowOff>0</xdr:rowOff>
        </xdr:from>
        <xdr:to>
          <xdr:col>12</xdr:col>
          <xdr:colOff>1327150</xdr:colOff>
          <xdr:row>24</xdr:row>
          <xdr:rowOff>209550</xdr:rowOff>
        </xdr:to>
        <xdr:sp macro="" textlink="">
          <xdr:nvSpPr>
            <xdr:cNvPr id="25604" name="Check Box 4" hidden="1">
              <a:extLst>
                <a:ext uri="{63B3BB69-23CF-44E3-9099-C40C66FF867C}">
                  <a14:compatExt spid="_x0000_s25604"/>
                </a:ext>
                <a:ext uri="{FF2B5EF4-FFF2-40B4-BE49-F238E27FC236}">
                  <a16:creationId xmlns:a16="http://schemas.microsoft.com/office/drawing/2014/main" id="{294DB4C7-29BF-90A4-759E-93ECAA7D2FC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住民票(入居者全員）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25</xdr:row>
          <xdr:rowOff>6350</xdr:rowOff>
        </xdr:from>
        <xdr:to>
          <xdr:col>12</xdr:col>
          <xdr:colOff>774700</xdr:colOff>
          <xdr:row>25</xdr:row>
          <xdr:rowOff>209550</xdr:rowOff>
        </xdr:to>
        <xdr:sp macro="" textlink="">
          <xdr:nvSpPr>
            <xdr:cNvPr id="25609" name="Check Box 9" hidden="1">
              <a:extLst>
                <a:ext uri="{63B3BB69-23CF-44E3-9099-C40C66FF867C}">
                  <a14:compatExt spid="_x0000_s25609"/>
                </a:ext>
                <a:ext uri="{FF2B5EF4-FFF2-40B4-BE49-F238E27FC236}">
                  <a16:creationId xmlns:a16="http://schemas.microsoft.com/office/drawing/2014/main" id="{BADBA63B-74DD-5A0F-8A31-B7CCDD142D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顔写真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34</xdr:row>
          <xdr:rowOff>171450</xdr:rowOff>
        </xdr:from>
        <xdr:to>
          <xdr:col>12</xdr:col>
          <xdr:colOff>857250</xdr:colOff>
          <xdr:row>35</xdr:row>
          <xdr:rowOff>171450</xdr:rowOff>
        </xdr:to>
        <xdr:sp macro="" textlink="">
          <xdr:nvSpPr>
            <xdr:cNvPr id="25612" name="Check Box 12" hidden="1">
              <a:extLst>
                <a:ext uri="{63B3BB69-23CF-44E3-9099-C40C66FF867C}">
                  <a14:compatExt spid="_x0000_s25612"/>
                </a:ext>
                <a:ext uri="{FF2B5EF4-FFF2-40B4-BE49-F238E27FC236}">
                  <a16:creationId xmlns:a16="http://schemas.microsoft.com/office/drawing/2014/main" id="{F55BFEAF-2885-7A94-28AE-E498153B33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所得証明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19050</xdr:colOff>
          <xdr:row>23</xdr:row>
          <xdr:rowOff>6350</xdr:rowOff>
        </xdr:from>
        <xdr:to>
          <xdr:col>12</xdr:col>
          <xdr:colOff>0</xdr:colOff>
          <xdr:row>24</xdr:row>
          <xdr:rowOff>0</xdr:rowOff>
        </xdr:to>
        <xdr:sp macro="" textlink="">
          <xdr:nvSpPr>
            <xdr:cNvPr id="25613" name="Check Box 13" hidden="1">
              <a:extLst>
                <a:ext uri="{63B3BB69-23CF-44E3-9099-C40C66FF867C}">
                  <a14:compatExt spid="_x0000_s25613"/>
                </a:ext>
                <a:ext uri="{FF2B5EF4-FFF2-40B4-BE49-F238E27FC236}">
                  <a16:creationId xmlns:a16="http://schemas.microsoft.com/office/drawing/2014/main" id="{8649561A-46DD-32CD-4AA2-424FEA46E3AC}"/>
                </a:ext>
              </a:extLst>
            </xdr:cNvPr>
            <xdr:cNvSpPr/>
          </xdr:nvSpPr>
          <xdr:spPr bwMode="auto">
            <a:xfrm>
              <a:off x="0" y="0"/>
              <a:ext cx="0" cy="0"/>
            </a:xfrm>
            <a:prstGeom prst="rect">
              <a:avLst/>
            </a:prstGeom>
            <a:solidFill>
              <a:srgbClr val="FFFF99" mc:Ignorable="a14" a14:legacySpreadsheetColorIndex="43"/>
            </a:solidFill>
            <a:ln w="9525">
              <a:solidFill>
                <a:srgbClr val="969696" mc:Ignorable="a14" a14:legacySpreadsheetColorIndex="55"/>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法人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139700</xdr:colOff>
          <xdr:row>22</xdr:row>
          <xdr:rowOff>209550</xdr:rowOff>
        </xdr:from>
        <xdr:to>
          <xdr:col>12</xdr:col>
          <xdr:colOff>1416050</xdr:colOff>
          <xdr:row>23</xdr:row>
          <xdr:rowOff>203200</xdr:rowOff>
        </xdr:to>
        <xdr:sp macro="" textlink="">
          <xdr:nvSpPr>
            <xdr:cNvPr id="25614" name="Check Box 14" hidden="1">
              <a:extLst>
                <a:ext uri="{63B3BB69-23CF-44E3-9099-C40C66FF867C}">
                  <a14:compatExt spid="_x0000_s25614"/>
                </a:ext>
                <a:ext uri="{FF2B5EF4-FFF2-40B4-BE49-F238E27FC236}">
                  <a16:creationId xmlns:a16="http://schemas.microsoft.com/office/drawing/2014/main" id="{1935B7FA-07E6-A7C4-1980-491E5D9B8C8A}"/>
                </a:ext>
              </a:extLst>
            </xdr:cNvPr>
            <xdr:cNvSpPr/>
          </xdr:nvSpPr>
          <xdr:spPr bwMode="auto">
            <a:xfrm>
              <a:off x="0" y="0"/>
              <a:ext cx="0" cy="0"/>
            </a:xfrm>
            <a:prstGeom prst="rect">
              <a:avLst/>
            </a:prstGeom>
            <a:solidFill>
              <a:srgbClr val="FFFF99" mc:Ignorable="a14" a14:legacySpreadsheetColorIndex="43"/>
            </a:solidFill>
            <a:ln w="9525">
              <a:solidFill>
                <a:srgbClr val="808080" mc:Ignorable="a14" a14:legacySpreadsheetColorIndex="23"/>
              </a:solid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個人（入居者）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32</xdr:row>
          <xdr:rowOff>165100</xdr:rowOff>
        </xdr:from>
        <xdr:to>
          <xdr:col>12</xdr:col>
          <xdr:colOff>641350</xdr:colOff>
          <xdr:row>34</xdr:row>
          <xdr:rowOff>158750</xdr:rowOff>
        </xdr:to>
        <xdr:sp macro="" textlink="">
          <xdr:nvSpPr>
            <xdr:cNvPr id="25615" name="Check Box 15" hidden="1">
              <a:extLst>
                <a:ext uri="{63B3BB69-23CF-44E3-9099-C40C66FF867C}">
                  <a14:compatExt spid="_x0000_s25615"/>
                </a:ext>
                <a:ext uri="{FF2B5EF4-FFF2-40B4-BE49-F238E27FC236}">
                  <a16:creationId xmlns:a16="http://schemas.microsoft.com/office/drawing/2014/main" id="{07063143-FB18-2244-DC5F-BAFE64E3663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住民票</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35</xdr:row>
          <xdr:rowOff>158750</xdr:rowOff>
        </xdr:from>
        <xdr:to>
          <xdr:col>12</xdr:col>
          <xdr:colOff>762000</xdr:colOff>
          <xdr:row>36</xdr:row>
          <xdr:rowOff>152400</xdr:rowOff>
        </xdr:to>
        <xdr:sp macro="" textlink="">
          <xdr:nvSpPr>
            <xdr:cNvPr id="25616" name="Check Box 16" hidden="1">
              <a:extLst>
                <a:ext uri="{63B3BB69-23CF-44E3-9099-C40C66FF867C}">
                  <a14:compatExt spid="_x0000_s25616"/>
                </a:ext>
                <a:ext uri="{FF2B5EF4-FFF2-40B4-BE49-F238E27FC236}">
                  <a16:creationId xmlns:a16="http://schemas.microsoft.com/office/drawing/2014/main" id="{25140928-9C02-AAC7-CEA7-4496E3E304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印鑑証明</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36</xdr:row>
          <xdr:rowOff>152400</xdr:rowOff>
        </xdr:from>
        <xdr:to>
          <xdr:col>12</xdr:col>
          <xdr:colOff>781050</xdr:colOff>
          <xdr:row>38</xdr:row>
          <xdr:rowOff>6350</xdr:rowOff>
        </xdr:to>
        <xdr:sp macro="" textlink="">
          <xdr:nvSpPr>
            <xdr:cNvPr id="25617" name="Check Box 17" hidden="1">
              <a:extLst>
                <a:ext uri="{63B3BB69-23CF-44E3-9099-C40C66FF867C}">
                  <a14:compatExt spid="_x0000_s25617"/>
                </a:ext>
                <a:ext uri="{FF2B5EF4-FFF2-40B4-BE49-F238E27FC236}">
                  <a16:creationId xmlns:a16="http://schemas.microsoft.com/office/drawing/2014/main" id="{FE00F110-43A4-7CD8-A903-986460EFAAC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Ｐゴシック"/>
                  <a:ea typeface="ＭＳ Ｐゴシック"/>
                </a:rPr>
                <a:t>その他</a:t>
              </a:r>
            </a:p>
          </xdr:txBody>
        </xdr:sp>
        <xdr:clientData/>
      </xdr:twoCellAnchor>
    </mc:Choice>
    <mc:Fallback/>
  </mc:AlternateContent>
  <xdr:twoCellAnchor>
    <xdr:from>
      <xdr:col>3</xdr:col>
      <xdr:colOff>88900</xdr:colOff>
      <xdr:row>45</xdr:row>
      <xdr:rowOff>79375</xdr:rowOff>
    </xdr:from>
    <xdr:to>
      <xdr:col>4</xdr:col>
      <xdr:colOff>841526</xdr:colOff>
      <xdr:row>48</xdr:row>
      <xdr:rowOff>95290</xdr:rowOff>
    </xdr:to>
    <xdr:sp macro="" textlink="">
      <xdr:nvSpPr>
        <xdr:cNvPr id="46" name="WordArt 592">
          <a:extLst>
            <a:ext uri="{FF2B5EF4-FFF2-40B4-BE49-F238E27FC236}">
              <a16:creationId xmlns:a16="http://schemas.microsoft.com/office/drawing/2014/main" id="{210B83DF-4649-65D7-5791-CCBAC623D65B}"/>
            </a:ext>
          </a:extLst>
        </xdr:cNvPr>
        <xdr:cNvSpPr>
          <a:spLocks noChangeArrowheads="1" noChangeShapeType="1" noTextEdit="1"/>
        </xdr:cNvSpPr>
      </xdr:nvSpPr>
      <xdr:spPr bwMode="auto">
        <a:xfrm>
          <a:off x="819150" y="9058275"/>
          <a:ext cx="1676400" cy="523875"/>
        </a:xfrm>
        <a:prstGeom prst="rect">
          <a:avLst/>
        </a:prstGeom>
      </xdr:spPr>
      <xdr:txBody>
        <a:bodyPr wrap="none" fromWordArt="1">
          <a:prstTxWarp prst="textPlain">
            <a:avLst>
              <a:gd name="adj" fmla="val 50000"/>
            </a:avLst>
          </a:prstTxWarp>
        </a:bodyPr>
        <a:lstStyle/>
        <a:p>
          <a:pPr algn="ctr" rtl="0">
            <a:buNone/>
          </a:pPr>
          <a:r>
            <a:rPr lang="en-US" altLang="ja-JP" sz="18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KOARA</a:t>
          </a:r>
          <a:r>
            <a:rPr lang="ja-JP" altLang="en-US" sz="1800" kern="10" spc="0">
              <a:ln>
                <a:noFill/>
              </a:ln>
              <a:solidFill>
                <a:srgbClr xmlns:mc="http://schemas.openxmlformats.org/markup-compatibility/2006" xmlns:a14="http://schemas.microsoft.com/office/drawing/2010/main" val="008000" mc:Ignorable="a14" a14:legacySpreadsheetColorIndex="17"/>
              </a:solidFill>
              <a:effectLst/>
              <a:latin typeface="HG創英角ﾎﾟｯﾌﾟ体" panose="040B0A09000000000000" pitchFamily="49" charset="-128"/>
              <a:ea typeface="HG創英角ﾎﾟｯﾌﾟ体" panose="040B0A09000000000000" pitchFamily="49" charset="-128"/>
            </a:rPr>
            <a:t>不動産</a:t>
          </a:r>
          <a:endParaRPr lang="ja-JP" altLang="en-US" sz="1800" kern="10" spc="0">
            <a:ln>
              <a:noFill/>
            </a:ln>
            <a:solidFill>
              <a:srgbClr val="FFC000"/>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4</xdr:col>
      <xdr:colOff>800100</xdr:colOff>
      <xdr:row>46</xdr:row>
      <xdr:rowOff>60325</xdr:rowOff>
    </xdr:from>
    <xdr:to>
      <xdr:col>9</xdr:col>
      <xdr:colOff>349250</xdr:colOff>
      <xdr:row>48</xdr:row>
      <xdr:rowOff>133401</xdr:rowOff>
    </xdr:to>
    <xdr:sp macro="" textlink="">
      <xdr:nvSpPr>
        <xdr:cNvPr id="47" name="WordArt 22">
          <a:extLst>
            <a:ext uri="{FF2B5EF4-FFF2-40B4-BE49-F238E27FC236}">
              <a16:creationId xmlns:a16="http://schemas.microsoft.com/office/drawing/2014/main" id="{B5A938DB-82CB-B214-588F-14796BB2F748}"/>
            </a:ext>
          </a:extLst>
        </xdr:cNvPr>
        <xdr:cNvSpPr>
          <a:spLocks noChangeArrowheads="1" noChangeShapeType="1"/>
        </xdr:cNvSpPr>
      </xdr:nvSpPr>
      <xdr:spPr bwMode="auto">
        <a:xfrm>
          <a:off x="2447925" y="9210675"/>
          <a:ext cx="1752600" cy="409575"/>
        </a:xfrm>
        <a:prstGeom prst="rect">
          <a:avLst/>
        </a:prstGeom>
        <a:noFill/>
        <a:ln>
          <a:noFill/>
        </a:ln>
      </xdr:spPr>
      <xdr:txBody>
        <a:bodyPr vertOverflow="clip" wrap="square" lIns="36576" tIns="18288" rIns="36576" bIns="0" anchor="t"/>
        <a:lstStyle/>
        <a:p>
          <a:pPr algn="ctr" rtl="0">
            <a:lnSpc>
              <a:spcPts val="1100"/>
            </a:lnSpc>
            <a:defRPr sz="1000"/>
          </a:pPr>
          <a:r>
            <a:rPr lang="ja-JP" altLang="en-US" sz="1050" b="1" i="0" u="none" strike="noStrike" baseline="0">
              <a:solidFill>
                <a:srgbClr val="000000"/>
              </a:solidFill>
              <a:latin typeface="ＤＦ中丸ゴシック体"/>
            </a:rPr>
            <a:t>TEL</a:t>
          </a:r>
          <a:r>
            <a:rPr lang="ja-JP" altLang="en-US" sz="1050" b="1" i="0" u="none" strike="noStrike" baseline="0">
              <a:solidFill>
                <a:srgbClr val="000000"/>
              </a:solidFill>
              <a:latin typeface="ＭＳ Ｐゴシック"/>
              <a:ea typeface="ＭＳ Ｐゴシック"/>
            </a:rPr>
            <a:t>：０６</a:t>
          </a:r>
          <a:r>
            <a:rPr lang="ja-JP" altLang="en-US" sz="1050" b="1" i="0" u="none" strike="noStrike" baseline="0">
              <a:solidFill>
                <a:srgbClr val="000000"/>
              </a:solidFill>
              <a:latin typeface="ＤＦ中丸ゴシック体"/>
              <a:ea typeface="ＭＳ Ｐゴシック"/>
            </a:rPr>
            <a:t>-</a:t>
          </a:r>
          <a:r>
            <a:rPr lang="ja-JP" altLang="en-US" sz="1050" b="1" i="0" u="none" strike="noStrike" baseline="0">
              <a:solidFill>
                <a:srgbClr val="000000"/>
              </a:solidFill>
              <a:latin typeface="ＭＳ Ｐゴシック"/>
              <a:ea typeface="ＭＳ Ｐゴシック"/>
            </a:rPr>
            <a:t>６４８４－０３００</a:t>
          </a:r>
        </a:p>
        <a:p>
          <a:pPr algn="ctr" rtl="0">
            <a:lnSpc>
              <a:spcPts val="1400"/>
            </a:lnSpc>
            <a:defRPr sz="1000"/>
          </a:pPr>
          <a:r>
            <a:rPr lang="ja-JP" altLang="en-US" sz="1050" b="1" i="0" u="none" strike="noStrike" baseline="0">
              <a:solidFill>
                <a:srgbClr val="000000"/>
              </a:solidFill>
              <a:latin typeface="ＤＦ中丸ゴシック体"/>
            </a:rPr>
            <a:t>FAX</a:t>
          </a:r>
          <a:r>
            <a:rPr lang="ja-JP" altLang="en-US" sz="1050" b="1" i="0" u="none" strike="noStrike" baseline="0">
              <a:solidFill>
                <a:srgbClr val="000000"/>
              </a:solidFill>
              <a:latin typeface="ＭＳ Ｐゴシック"/>
              <a:ea typeface="ＭＳ Ｐゴシック"/>
            </a:rPr>
            <a:t>：０６</a:t>
          </a:r>
          <a:r>
            <a:rPr lang="ja-JP" altLang="en-US" sz="1050" b="1" i="0" u="none" strike="noStrike" baseline="0">
              <a:solidFill>
                <a:srgbClr val="000000"/>
              </a:solidFill>
              <a:latin typeface="ＤＦ中丸ゴシック体"/>
              <a:ea typeface="ＭＳ Ｐゴシック"/>
            </a:rPr>
            <a:t>-</a:t>
          </a:r>
          <a:r>
            <a:rPr lang="ja-JP" altLang="en-US" sz="1050" b="1" i="0" u="none" strike="noStrike" baseline="0">
              <a:solidFill>
                <a:srgbClr val="000000"/>
              </a:solidFill>
              <a:latin typeface="ＭＳ Ｐゴシック"/>
              <a:ea typeface="ＭＳ Ｐゴシック"/>
            </a:rPr>
            <a:t>６４８４－０４００</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52" name="WordArt 61">
          <a:extLst>
            <a:ext uri="{FF2B5EF4-FFF2-40B4-BE49-F238E27FC236}">
              <a16:creationId xmlns:a16="http://schemas.microsoft.com/office/drawing/2014/main" id="{0B0FE251-7818-D153-38AD-625F4D9D2FBA}"/>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21</xdr:row>
      <xdr:rowOff>95250</xdr:rowOff>
    </xdr:from>
    <xdr:to>
      <xdr:col>6</xdr:col>
      <xdr:colOff>23813</xdr:colOff>
      <xdr:row>21</xdr:row>
      <xdr:rowOff>174852</xdr:rowOff>
    </xdr:to>
    <xdr:sp macro="" textlink="">
      <xdr:nvSpPr>
        <xdr:cNvPr id="53" name="WordArt 77">
          <a:extLst>
            <a:ext uri="{FF2B5EF4-FFF2-40B4-BE49-F238E27FC236}">
              <a16:creationId xmlns:a16="http://schemas.microsoft.com/office/drawing/2014/main" id="{FD2D0744-E6E5-85D7-FAAB-B32B3DC40E95}"/>
            </a:ext>
          </a:extLst>
        </xdr:cNvPr>
        <xdr:cNvSpPr>
          <a:spLocks noChangeArrowheads="1" noChangeShapeType="1" noTextEdit="1"/>
        </xdr:cNvSpPr>
      </xdr:nvSpPr>
      <xdr:spPr bwMode="auto">
        <a:xfrm>
          <a:off x="3162300" y="44481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54" name="WordArt 84">
          <a:extLst>
            <a:ext uri="{FF2B5EF4-FFF2-40B4-BE49-F238E27FC236}">
              <a16:creationId xmlns:a16="http://schemas.microsoft.com/office/drawing/2014/main" id="{967469D0-61E6-457B-A9F9-F25D78C02B48}"/>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64" name="WordArt 61">
          <a:extLst>
            <a:ext uri="{FF2B5EF4-FFF2-40B4-BE49-F238E27FC236}">
              <a16:creationId xmlns:a16="http://schemas.microsoft.com/office/drawing/2014/main" id="{6BED33D2-4823-7DB1-2E36-5C42D9E2C905}"/>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65" name="WordArt 84">
          <a:extLst>
            <a:ext uri="{FF2B5EF4-FFF2-40B4-BE49-F238E27FC236}">
              <a16:creationId xmlns:a16="http://schemas.microsoft.com/office/drawing/2014/main" id="{4A284BAA-9551-3511-2170-D075D506DB75}"/>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67" name="WordArt 61">
          <a:extLst>
            <a:ext uri="{FF2B5EF4-FFF2-40B4-BE49-F238E27FC236}">
              <a16:creationId xmlns:a16="http://schemas.microsoft.com/office/drawing/2014/main" id="{5DA87AB5-2106-7BC2-0BC7-74242CFBD33C}"/>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68" name="WordArt 84">
          <a:extLst>
            <a:ext uri="{FF2B5EF4-FFF2-40B4-BE49-F238E27FC236}">
              <a16:creationId xmlns:a16="http://schemas.microsoft.com/office/drawing/2014/main" id="{433F8AA8-083E-DDB2-B76C-621C3C1906D9}"/>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352425</xdr:colOff>
      <xdr:row>12</xdr:row>
      <xdr:rowOff>79375</xdr:rowOff>
    </xdr:from>
    <xdr:to>
      <xdr:col>6</xdr:col>
      <xdr:colOff>23813</xdr:colOff>
      <xdr:row>12</xdr:row>
      <xdr:rowOff>171694</xdr:rowOff>
    </xdr:to>
    <xdr:sp macro="" textlink="">
      <xdr:nvSpPr>
        <xdr:cNvPr id="70" name="WordArt 61">
          <a:extLst>
            <a:ext uri="{FF2B5EF4-FFF2-40B4-BE49-F238E27FC236}">
              <a16:creationId xmlns:a16="http://schemas.microsoft.com/office/drawing/2014/main" id="{EA159087-1350-B70A-902A-9EC8AC287B94}"/>
            </a:ext>
          </a:extLst>
        </xdr:cNvPr>
        <xdr:cNvSpPr>
          <a:spLocks noChangeArrowheads="1" noChangeShapeType="1" noTextEdit="1"/>
        </xdr:cNvSpPr>
      </xdr:nvSpPr>
      <xdr:spPr bwMode="auto">
        <a:xfrm>
          <a:off x="3162300" y="2466975"/>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5</xdr:col>
      <xdr:colOff>368300</xdr:colOff>
      <xdr:row>13</xdr:row>
      <xdr:rowOff>79375</xdr:rowOff>
    </xdr:from>
    <xdr:to>
      <xdr:col>6</xdr:col>
      <xdr:colOff>19685</xdr:colOff>
      <xdr:row>13</xdr:row>
      <xdr:rowOff>171694</xdr:rowOff>
    </xdr:to>
    <xdr:sp macro="" textlink="">
      <xdr:nvSpPr>
        <xdr:cNvPr id="71" name="WordArt 84">
          <a:extLst>
            <a:ext uri="{FF2B5EF4-FFF2-40B4-BE49-F238E27FC236}">
              <a16:creationId xmlns:a16="http://schemas.microsoft.com/office/drawing/2014/main" id="{228908FF-606E-07DC-8EF0-DB3F1DB1C09A}"/>
            </a:ext>
          </a:extLst>
        </xdr:cNvPr>
        <xdr:cNvSpPr>
          <a:spLocks noChangeArrowheads="1" noChangeShapeType="1" noTextEdit="1"/>
        </xdr:cNvSpPr>
      </xdr:nvSpPr>
      <xdr:spPr bwMode="auto">
        <a:xfrm>
          <a:off x="3171825" y="2686050"/>
          <a:ext cx="66675" cy="85725"/>
        </a:xfrm>
        <a:prstGeom prst="rect">
          <a:avLst/>
        </a:prstGeom>
      </xdr:spPr>
      <xdr:txBody>
        <a:bodyPr wrap="none" fromWordArt="1">
          <a:prstTxWarp prst="textPlain">
            <a:avLst>
              <a:gd name="adj" fmla="val 50000"/>
            </a:avLst>
          </a:prstTxWarp>
        </a:bodyPr>
        <a:lstStyle/>
        <a:p>
          <a:pPr algn="ctr" rtl="0"/>
          <a:r>
            <a:rPr lang="ja-JP" altLang="en-US" sz="800" kern="10" spc="0">
              <a:ln w="9525">
                <a:solidFill>
                  <a:srgbClr val="000000"/>
                </a:solidFill>
                <a:round/>
                <a:headEnd/>
                <a:tailEnd/>
              </a:ln>
              <a:solidFill>
                <a:srgbClr val="000000"/>
              </a:solidFill>
              <a:effectLst/>
              <a:latin typeface="ＨＧｺﾞｼｯｸE-PRO"/>
            </a:rPr>
            <a:t>日</a:t>
          </a:r>
        </a:p>
      </xdr:txBody>
    </xdr:sp>
    <xdr:clientData/>
  </xdr:twoCellAnchor>
  <xdr:twoCellAnchor>
    <xdr:from>
      <xdr:col>11</xdr:col>
      <xdr:colOff>6350</xdr:colOff>
      <xdr:row>22</xdr:row>
      <xdr:rowOff>209550</xdr:rowOff>
    </xdr:from>
    <xdr:to>
      <xdr:col>12</xdr:col>
      <xdr:colOff>19050</xdr:colOff>
      <xdr:row>27</xdr:row>
      <xdr:rowOff>50800</xdr:rowOff>
    </xdr:to>
    <xdr:cxnSp macro="">
      <xdr:nvCxnSpPr>
        <xdr:cNvPr id="46510" name="直線コネクタ 6">
          <a:extLst>
            <a:ext uri="{FF2B5EF4-FFF2-40B4-BE49-F238E27FC236}">
              <a16:creationId xmlns:a16="http://schemas.microsoft.com/office/drawing/2014/main" id="{E042C1E0-9956-8E0F-499C-6D4A3329AF4A}"/>
            </a:ext>
          </a:extLst>
        </xdr:cNvPr>
        <xdr:cNvCxnSpPr>
          <a:cxnSpLocks noChangeShapeType="1"/>
          <a:endCxn id="18" idx="2"/>
        </xdr:cNvCxnSpPr>
      </xdr:nvCxnSpPr>
      <xdr:spPr bwMode="auto">
        <a:xfrm flipV="1">
          <a:off x="4095750" y="4705350"/>
          <a:ext cx="647700" cy="92075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twoCellAnchor>
    <xdr:from>
      <xdr:col>11</xdr:col>
      <xdr:colOff>615950</xdr:colOff>
      <xdr:row>32</xdr:row>
      <xdr:rowOff>107950</xdr:rowOff>
    </xdr:from>
    <xdr:to>
      <xdr:col>12</xdr:col>
      <xdr:colOff>679450</xdr:colOff>
      <xdr:row>37</xdr:row>
      <xdr:rowOff>114300</xdr:rowOff>
    </xdr:to>
    <xdr:cxnSp macro="">
      <xdr:nvCxnSpPr>
        <xdr:cNvPr id="46511" name="直線コネクタ 14">
          <a:extLst>
            <a:ext uri="{FF2B5EF4-FFF2-40B4-BE49-F238E27FC236}">
              <a16:creationId xmlns:a16="http://schemas.microsoft.com/office/drawing/2014/main" id="{1804FF69-3275-0A9B-BEFA-1B7C678EA45A}"/>
            </a:ext>
          </a:extLst>
        </xdr:cNvPr>
        <xdr:cNvCxnSpPr>
          <a:cxnSpLocks noChangeShapeType="1"/>
        </xdr:cNvCxnSpPr>
      </xdr:nvCxnSpPr>
      <xdr:spPr bwMode="auto">
        <a:xfrm flipV="1">
          <a:off x="4705350" y="6762750"/>
          <a:ext cx="698500" cy="86360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58</xdr:row>
      <xdr:rowOff>22225</xdr:rowOff>
    </xdr:from>
    <xdr:to>
      <xdr:col>0</xdr:col>
      <xdr:colOff>0</xdr:colOff>
      <xdr:row>61</xdr:row>
      <xdr:rowOff>38140</xdr:rowOff>
    </xdr:to>
    <xdr:sp macro="" textlink="">
      <xdr:nvSpPr>
        <xdr:cNvPr id="26" name="WordArt 82">
          <a:extLst>
            <a:ext uri="{FF2B5EF4-FFF2-40B4-BE49-F238E27FC236}">
              <a16:creationId xmlns:a16="http://schemas.microsoft.com/office/drawing/2014/main" id="{D1F6FDC4-18DB-6CF4-57C6-3AD8243FFD2F}"/>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0</xdr:col>
      <xdr:colOff>3313</xdr:colOff>
      <xdr:row>58</xdr:row>
      <xdr:rowOff>79375</xdr:rowOff>
    </xdr:from>
    <xdr:to>
      <xdr:col>0</xdr:col>
      <xdr:colOff>3313</xdr:colOff>
      <xdr:row>60</xdr:row>
      <xdr:rowOff>127000</xdr:rowOff>
    </xdr:to>
    <xdr:sp macro="" textlink="">
      <xdr:nvSpPr>
        <xdr:cNvPr id="27" name="WordArt 83">
          <a:extLst>
            <a:ext uri="{FF2B5EF4-FFF2-40B4-BE49-F238E27FC236}">
              <a16:creationId xmlns:a16="http://schemas.microsoft.com/office/drawing/2014/main" id="{FD743175-13F0-4EA4-1949-9D315F9E1F5D}"/>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0</xdr:col>
      <xdr:colOff>1242</xdr:colOff>
      <xdr:row>60</xdr:row>
      <xdr:rowOff>117475</xdr:rowOff>
    </xdr:from>
    <xdr:to>
      <xdr:col>0</xdr:col>
      <xdr:colOff>1242</xdr:colOff>
      <xdr:row>64</xdr:row>
      <xdr:rowOff>155575</xdr:rowOff>
    </xdr:to>
    <xdr:sp macro="" textlink="">
      <xdr:nvSpPr>
        <xdr:cNvPr id="30" name="WordArt 83">
          <a:extLst>
            <a:ext uri="{FF2B5EF4-FFF2-40B4-BE49-F238E27FC236}">
              <a16:creationId xmlns:a16="http://schemas.microsoft.com/office/drawing/2014/main" id="{DB4A4A2B-8576-BCEA-49BE-665C654F3A7E}"/>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twoCellAnchor>
    <xdr:from>
      <xdr:col>18</xdr:col>
      <xdr:colOff>19050</xdr:colOff>
      <xdr:row>13</xdr:row>
      <xdr:rowOff>38100</xdr:rowOff>
    </xdr:from>
    <xdr:to>
      <xdr:col>25</xdr:col>
      <xdr:colOff>161938</xdr:colOff>
      <xdr:row>14</xdr:row>
      <xdr:rowOff>168275</xdr:rowOff>
    </xdr:to>
    <xdr:sp macro="" textlink="">
      <xdr:nvSpPr>
        <xdr:cNvPr id="2" name="WordArt 1">
          <a:extLst>
            <a:ext uri="{FF2B5EF4-FFF2-40B4-BE49-F238E27FC236}">
              <a16:creationId xmlns:a16="http://schemas.microsoft.com/office/drawing/2014/main" id="{B16848B0-2FC8-ECD0-1F75-36278CE88EB3}"/>
            </a:ext>
          </a:extLst>
        </xdr:cNvPr>
        <xdr:cNvSpPr>
          <a:spLocks noChangeArrowheads="1" noChangeShapeType="1" noTextEdit="1"/>
        </xdr:cNvSpPr>
      </xdr:nvSpPr>
      <xdr:spPr bwMode="auto">
        <a:xfrm>
          <a:off x="3619500" y="3457575"/>
          <a:ext cx="1562100" cy="390525"/>
        </a:xfrm>
        <a:prstGeom prst="rect">
          <a:avLst/>
        </a:prstGeom>
      </xdr:spPr>
      <xdr:txBody>
        <a:bodyPr wrap="none" fromWordArt="1">
          <a:prstTxWarp prst="textPlain">
            <a:avLst>
              <a:gd name="adj" fmla="val 50000"/>
            </a:avLst>
          </a:prstTxWarp>
        </a:bodyPr>
        <a:lstStyle/>
        <a:p>
          <a:pPr algn="ctr" rtl="0">
            <a:buNone/>
          </a:pPr>
          <a:endParaRPr lang="ja-JP" altLang="en-US" sz="18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endParaRPr>
        </a:p>
      </xdr:txBody>
    </xdr:sp>
    <xdr:clientData/>
  </xdr:twoCellAnchor>
  <xdr:twoCellAnchor>
    <xdr:from>
      <xdr:col>6</xdr:col>
      <xdr:colOff>60325</xdr:colOff>
      <xdr:row>5</xdr:row>
      <xdr:rowOff>38100</xdr:rowOff>
    </xdr:from>
    <xdr:to>
      <xdr:col>7</xdr:col>
      <xdr:colOff>457112</xdr:colOff>
      <xdr:row>7</xdr:row>
      <xdr:rowOff>3233</xdr:rowOff>
    </xdr:to>
    <xdr:sp macro="" textlink="">
      <xdr:nvSpPr>
        <xdr:cNvPr id="1028" name="WordArt 4">
          <a:extLst>
            <a:ext uri="{FF2B5EF4-FFF2-40B4-BE49-F238E27FC236}">
              <a16:creationId xmlns:a16="http://schemas.microsoft.com/office/drawing/2014/main" id="{88F51D44-162D-DF18-C412-3FFB17877832}"/>
            </a:ext>
          </a:extLst>
        </xdr:cNvPr>
        <xdr:cNvSpPr>
          <a:spLocks noChangeArrowheads="1" noChangeShapeType="1" noTextEdit="1"/>
        </xdr:cNvSpPr>
      </xdr:nvSpPr>
      <xdr:spPr bwMode="auto">
        <a:xfrm>
          <a:off x="3476625" y="1038225"/>
          <a:ext cx="1219200" cy="361950"/>
        </a:xfrm>
        <a:prstGeom prst="rect">
          <a:avLst/>
        </a:prstGeom>
      </xdr:spPr>
      <xdr:txBody>
        <a:bodyPr wrap="none" fromWordArt="1">
          <a:prstTxWarp prst="textPlain">
            <a:avLst>
              <a:gd name="adj" fmla="val 50000"/>
            </a:avLst>
          </a:prstTxWarp>
        </a:bodyPr>
        <a:lstStyle/>
        <a:p>
          <a:pPr algn="ctr" rtl="0">
            <a:buNone/>
          </a:pPr>
          <a:r>
            <a:rPr lang="en-US" altLang="ja-JP" sz="2400" kern="10" spc="0">
              <a:ln>
                <a:noFill/>
              </a:ln>
              <a:solidFill>
                <a:srgbClr val="00B050"/>
              </a:solidFill>
              <a:effectLst/>
              <a:latin typeface="HGS創英角ﾎﾟｯﾌﾟ体" panose="040B0A00000000000000" pitchFamily="50" charset="-128"/>
              <a:ea typeface="HGS創英角ﾎﾟｯﾌﾟ体" panose="040B0A00000000000000" pitchFamily="50" charset="-128"/>
            </a:rPr>
            <a:t>KOARA</a:t>
          </a:r>
          <a:r>
            <a:rPr lang="ja-JP" altLang="en-US" sz="2400" kern="10" spc="0">
              <a:ln>
                <a:noFill/>
              </a:ln>
              <a:solidFill>
                <a:srgbClr val="00B050"/>
              </a:solidFill>
              <a:effectLst/>
              <a:latin typeface="HGS創英角ﾎﾟｯﾌﾟ体" panose="040B0A00000000000000" pitchFamily="50" charset="-128"/>
              <a:ea typeface="HGS創英角ﾎﾟｯﾌﾟ体" panose="040B0A00000000000000" pitchFamily="50" charset="-128"/>
            </a:rPr>
            <a:t>不動産</a:t>
          </a:r>
          <a:endParaRPr lang="ja-JP" altLang="en-US" sz="2400" kern="10" spc="0">
            <a:ln>
              <a:noFill/>
            </a:ln>
            <a:solidFill>
              <a:srgbClr val="FFC000"/>
            </a:solidFill>
            <a:effectLst/>
            <a:latin typeface="HGS創英角ﾎﾟｯﾌﾟ体" panose="040B0A00000000000000" pitchFamily="50" charset="-128"/>
            <a:ea typeface="HGS創英角ﾎﾟｯﾌﾟ体" panose="040B0A00000000000000" pitchFamily="50" charset="-128"/>
          </a:endParaRPr>
        </a:p>
      </xdr:txBody>
    </xdr:sp>
    <xdr:clientData/>
  </xdr:twoCellAnchor>
  <xdr:twoCellAnchor>
    <xdr:from>
      <xdr:col>7</xdr:col>
      <xdr:colOff>498475</xdr:colOff>
      <xdr:row>6</xdr:row>
      <xdr:rowOff>19050</xdr:rowOff>
    </xdr:from>
    <xdr:to>
      <xdr:col>9</xdr:col>
      <xdr:colOff>92075</xdr:colOff>
      <xdr:row>7</xdr:row>
      <xdr:rowOff>0</xdr:rowOff>
    </xdr:to>
    <xdr:sp macro="" textlink="">
      <xdr:nvSpPr>
        <xdr:cNvPr id="1029" name="WordArt 5">
          <a:extLst>
            <a:ext uri="{FF2B5EF4-FFF2-40B4-BE49-F238E27FC236}">
              <a16:creationId xmlns:a16="http://schemas.microsoft.com/office/drawing/2014/main" id="{58691F02-03A8-02F3-609C-016DADFCF9D3}"/>
            </a:ext>
          </a:extLst>
        </xdr:cNvPr>
        <xdr:cNvSpPr>
          <a:spLocks noChangeArrowheads="1" noChangeShapeType="1" noTextEdit="1"/>
        </xdr:cNvSpPr>
      </xdr:nvSpPr>
      <xdr:spPr bwMode="auto">
        <a:xfrm>
          <a:off x="4743450" y="1190625"/>
          <a:ext cx="914400" cy="152400"/>
        </a:xfrm>
        <a:prstGeom prst="rect">
          <a:avLst/>
        </a:prstGeom>
      </xdr:spPr>
      <xdr:txBody>
        <a:bodyPr wrap="none" fromWordArt="1">
          <a:prstTxWarp prst="textPlain">
            <a:avLst>
              <a:gd name="adj" fmla="val 50000"/>
            </a:avLst>
          </a:prstTxWarp>
        </a:bodyPr>
        <a:lstStyle/>
        <a:p>
          <a:pPr algn="ctr" rtl="0">
            <a:buNone/>
          </a:pPr>
          <a:r>
            <a:rPr lang="ja-JP" altLang="en-US" sz="1200" kern="10" spc="0">
              <a:ln>
                <a:noFill/>
              </a:ln>
              <a:solidFill>
                <a:sysClr val="windowText" lastClr="000000"/>
              </a:solidFill>
              <a:effectLst/>
              <a:latin typeface="HGS創英角ﾎﾟｯﾌﾟ体" panose="040B0A00000000000000" pitchFamily="50" charset="-128"/>
              <a:ea typeface="HGS創英角ﾎﾟｯﾌﾟ体" panose="040B0A00000000000000" pitchFamily="50" charset="-128"/>
            </a:rPr>
            <a:t>大阪心斎橋店</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24</xdr:col>
      <xdr:colOff>76200</xdr:colOff>
      <xdr:row>15</xdr:row>
      <xdr:rowOff>107950</xdr:rowOff>
    </xdr:from>
    <xdr:to>
      <xdr:col>27</xdr:col>
      <xdr:colOff>0</xdr:colOff>
      <xdr:row>15</xdr:row>
      <xdr:rowOff>107950</xdr:rowOff>
    </xdr:to>
    <xdr:sp macro="" textlink="">
      <xdr:nvSpPr>
        <xdr:cNvPr id="47258" name="Line 28">
          <a:extLst>
            <a:ext uri="{FF2B5EF4-FFF2-40B4-BE49-F238E27FC236}">
              <a16:creationId xmlns:a16="http://schemas.microsoft.com/office/drawing/2014/main" id="{E8429074-98A9-60BF-502F-57701273787C}"/>
            </a:ext>
          </a:extLst>
        </xdr:cNvPr>
        <xdr:cNvSpPr>
          <a:spLocks noChangeShapeType="1"/>
        </xdr:cNvSpPr>
      </xdr:nvSpPr>
      <xdr:spPr bwMode="auto">
        <a:xfrm>
          <a:off x="2819400" y="20129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76200</xdr:colOff>
      <xdr:row>16</xdr:row>
      <xdr:rowOff>19050</xdr:rowOff>
    </xdr:from>
    <xdr:to>
      <xdr:col>27</xdr:col>
      <xdr:colOff>0</xdr:colOff>
      <xdr:row>16</xdr:row>
      <xdr:rowOff>19050</xdr:rowOff>
    </xdr:to>
    <xdr:sp macro="" textlink="">
      <xdr:nvSpPr>
        <xdr:cNvPr id="47259" name="Line 29">
          <a:extLst>
            <a:ext uri="{FF2B5EF4-FFF2-40B4-BE49-F238E27FC236}">
              <a16:creationId xmlns:a16="http://schemas.microsoft.com/office/drawing/2014/main" id="{1013E7FC-3012-FF1C-9C49-311CA4FEE97B}"/>
            </a:ext>
          </a:extLst>
        </xdr:cNvPr>
        <xdr:cNvSpPr>
          <a:spLocks noChangeShapeType="1"/>
        </xdr:cNvSpPr>
      </xdr:nvSpPr>
      <xdr:spPr bwMode="auto">
        <a:xfrm>
          <a:off x="2819400" y="20510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50800</xdr:colOff>
      <xdr:row>15</xdr:row>
      <xdr:rowOff>0</xdr:rowOff>
    </xdr:from>
    <xdr:to>
      <xdr:col>27</xdr:col>
      <xdr:colOff>107950</xdr:colOff>
      <xdr:row>16</xdr:row>
      <xdr:rowOff>95250</xdr:rowOff>
    </xdr:to>
    <xdr:grpSp>
      <xdr:nvGrpSpPr>
        <xdr:cNvPr id="47260" name="Group 32">
          <a:extLst>
            <a:ext uri="{FF2B5EF4-FFF2-40B4-BE49-F238E27FC236}">
              <a16:creationId xmlns:a16="http://schemas.microsoft.com/office/drawing/2014/main" id="{50B43DB6-07C4-A890-A733-9D47C9EAB349}"/>
            </a:ext>
          </a:extLst>
        </xdr:cNvPr>
        <xdr:cNvGrpSpPr>
          <a:grpSpLocks/>
        </xdr:cNvGrpSpPr>
      </xdr:nvGrpSpPr>
      <xdr:grpSpPr bwMode="auto">
        <a:xfrm>
          <a:off x="2971800" y="1905000"/>
          <a:ext cx="169496" cy="222250"/>
          <a:chOff x="359" y="1004"/>
          <a:chExt cx="24" cy="35"/>
        </a:xfrm>
      </xdr:grpSpPr>
      <xdr:sp macro="" textlink="">
        <xdr:nvSpPr>
          <xdr:cNvPr id="47270" name="Oval 30">
            <a:extLst>
              <a:ext uri="{FF2B5EF4-FFF2-40B4-BE49-F238E27FC236}">
                <a16:creationId xmlns:a16="http://schemas.microsoft.com/office/drawing/2014/main" id="{AFA78A8A-8FF7-81CB-1049-4821C801FB07}"/>
              </a:ext>
            </a:extLst>
          </xdr:cNvPr>
          <xdr:cNvSpPr>
            <a:spLocks noChangeArrowheads="1"/>
          </xdr:cNvSpPr>
        </xdr:nvSpPr>
        <xdr:spPr bwMode="auto">
          <a:xfrm>
            <a:off x="359" y="1004"/>
            <a:ext cx="24" cy="35"/>
          </a:xfrm>
          <a:prstGeom prst="ellipse">
            <a:avLst/>
          </a:prstGeom>
          <a:solidFill>
            <a:srgbClr val="FF0000">
              <a:alpha val="0"/>
            </a:srgbClr>
          </a:solidFill>
          <a:ln w="19050">
            <a:solidFill>
              <a:srgbClr val="FF0000"/>
            </a:solidFill>
            <a:round/>
            <a:headEnd/>
            <a:tailEnd/>
          </a:ln>
        </xdr:spPr>
      </xdr:sp>
      <xdr:sp macro="" textlink="">
        <xdr:nvSpPr>
          <xdr:cNvPr id="6" name="WordArt 31">
            <a:extLst>
              <a:ext uri="{FF2B5EF4-FFF2-40B4-BE49-F238E27FC236}">
                <a16:creationId xmlns:a16="http://schemas.microsoft.com/office/drawing/2014/main" id="{28494BE1-1512-611D-0A53-BCA15055ECFC}"/>
              </a:ext>
            </a:extLst>
          </xdr:cNvPr>
          <xdr:cNvSpPr>
            <a:spLocks noChangeArrowheads="1" noChangeShapeType="1" noTextEdit="1"/>
          </xdr:cNvSpPr>
        </xdr:nvSpPr>
        <xdr:spPr bwMode="auto">
          <a:xfrm rot="5400000">
            <a:off x="357" y="1018"/>
            <a:ext cx="26" cy="10"/>
          </a:xfrm>
          <a:prstGeom prst="rect">
            <a:avLst/>
          </a:prstGeom>
        </xdr:spPr>
        <xdr:txBody>
          <a:bodyPr vert="eaVert" wrap="none" fromWordArt="1">
            <a:prstTxWarp prst="textPlain">
              <a:avLst>
                <a:gd name="adj" fmla="val 50000"/>
              </a:avLst>
            </a:prstTxWarp>
          </a:bodyPr>
          <a:lstStyle/>
          <a:p>
            <a:pPr algn="ctr" rtl="0" fontAlgn="auto"/>
            <a:r>
              <a:rPr lang="ja-JP" altLang="en-US" sz="3600" kern="10" spc="0">
                <a:ln w="9525">
                  <a:noFill/>
                  <a:round/>
                  <a:headEnd/>
                  <a:tailEnd/>
                </a:ln>
                <a:solidFill>
                  <a:srgbClr val="FF0000"/>
                </a:solidFill>
                <a:effectLst/>
                <a:latin typeface="ＭＳ Ｐゴシック"/>
                <a:ea typeface="ＭＳ Ｐゴシック"/>
              </a:rPr>
              <a:t>訂正印</a:t>
            </a:r>
          </a:p>
        </xdr:txBody>
      </xdr:sp>
    </xdr:grpSp>
    <xdr:clientData/>
  </xdr:twoCellAnchor>
  <xdr:twoCellAnchor>
    <xdr:from>
      <xdr:col>4</xdr:col>
      <xdr:colOff>98425</xdr:colOff>
      <xdr:row>47</xdr:row>
      <xdr:rowOff>19050</xdr:rowOff>
    </xdr:from>
    <xdr:to>
      <xdr:col>38</xdr:col>
      <xdr:colOff>3175</xdr:colOff>
      <xdr:row>48</xdr:row>
      <xdr:rowOff>85725</xdr:rowOff>
    </xdr:to>
    <xdr:sp macro="" textlink="">
      <xdr:nvSpPr>
        <xdr:cNvPr id="10" name="WordArt 9">
          <a:extLst>
            <a:ext uri="{FF2B5EF4-FFF2-40B4-BE49-F238E27FC236}">
              <a16:creationId xmlns:a16="http://schemas.microsoft.com/office/drawing/2014/main" id="{BA4F564F-91E1-7B1F-813B-967819676E7C}"/>
            </a:ext>
          </a:extLst>
        </xdr:cNvPr>
        <xdr:cNvSpPr>
          <a:spLocks noChangeArrowheads="1" noChangeShapeType="1" noTextEdit="1"/>
        </xdr:cNvSpPr>
      </xdr:nvSpPr>
      <xdr:spPr bwMode="auto">
        <a:xfrm>
          <a:off x="600075" y="5838825"/>
          <a:ext cx="4114800" cy="190500"/>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もし分からない事がございましたら、ご連絡お願致します♪</a:t>
          </a:r>
        </a:p>
      </xdr:txBody>
    </xdr:sp>
    <xdr:clientData/>
  </xdr:twoCellAnchor>
  <xdr:twoCellAnchor>
    <xdr:from>
      <xdr:col>24</xdr:col>
      <xdr:colOff>76200</xdr:colOff>
      <xdr:row>15</xdr:row>
      <xdr:rowOff>107950</xdr:rowOff>
    </xdr:from>
    <xdr:to>
      <xdr:col>27</xdr:col>
      <xdr:colOff>0</xdr:colOff>
      <xdr:row>15</xdr:row>
      <xdr:rowOff>107950</xdr:rowOff>
    </xdr:to>
    <xdr:sp macro="" textlink="">
      <xdr:nvSpPr>
        <xdr:cNvPr id="47262" name="Line 28">
          <a:extLst>
            <a:ext uri="{FF2B5EF4-FFF2-40B4-BE49-F238E27FC236}">
              <a16:creationId xmlns:a16="http://schemas.microsoft.com/office/drawing/2014/main" id="{A7F73492-281B-067E-48B8-59E0F99BBFC7}"/>
            </a:ext>
          </a:extLst>
        </xdr:cNvPr>
        <xdr:cNvSpPr>
          <a:spLocks noChangeShapeType="1"/>
        </xdr:cNvSpPr>
      </xdr:nvSpPr>
      <xdr:spPr bwMode="auto">
        <a:xfrm>
          <a:off x="2819400" y="20129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76200</xdr:colOff>
      <xdr:row>16</xdr:row>
      <xdr:rowOff>19050</xdr:rowOff>
    </xdr:from>
    <xdr:to>
      <xdr:col>27</xdr:col>
      <xdr:colOff>0</xdr:colOff>
      <xdr:row>16</xdr:row>
      <xdr:rowOff>19050</xdr:rowOff>
    </xdr:to>
    <xdr:sp macro="" textlink="">
      <xdr:nvSpPr>
        <xdr:cNvPr id="47263" name="Line 29">
          <a:extLst>
            <a:ext uri="{FF2B5EF4-FFF2-40B4-BE49-F238E27FC236}">
              <a16:creationId xmlns:a16="http://schemas.microsoft.com/office/drawing/2014/main" id="{B9F87E4D-85BF-C413-AFFE-FB5427FD2F5F}"/>
            </a:ext>
          </a:extLst>
        </xdr:cNvPr>
        <xdr:cNvSpPr>
          <a:spLocks noChangeShapeType="1"/>
        </xdr:cNvSpPr>
      </xdr:nvSpPr>
      <xdr:spPr bwMode="auto">
        <a:xfrm>
          <a:off x="2819400" y="2051050"/>
          <a:ext cx="266700" cy="0"/>
        </a:xfrm>
        <a:prstGeom prst="line">
          <a:avLst/>
        </a:prstGeom>
        <a:noFill/>
        <a:ln w="127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50800</xdr:colOff>
      <xdr:row>15</xdr:row>
      <xdr:rowOff>0</xdr:rowOff>
    </xdr:from>
    <xdr:to>
      <xdr:col>27</xdr:col>
      <xdr:colOff>107950</xdr:colOff>
      <xdr:row>16</xdr:row>
      <xdr:rowOff>95250</xdr:rowOff>
    </xdr:to>
    <xdr:grpSp>
      <xdr:nvGrpSpPr>
        <xdr:cNvPr id="47264" name="Group 32">
          <a:extLst>
            <a:ext uri="{FF2B5EF4-FFF2-40B4-BE49-F238E27FC236}">
              <a16:creationId xmlns:a16="http://schemas.microsoft.com/office/drawing/2014/main" id="{622659D1-7008-FB6B-BF52-B66D7F5451EE}"/>
            </a:ext>
          </a:extLst>
        </xdr:cNvPr>
        <xdr:cNvGrpSpPr>
          <a:grpSpLocks/>
        </xdr:cNvGrpSpPr>
      </xdr:nvGrpSpPr>
      <xdr:grpSpPr bwMode="auto">
        <a:xfrm>
          <a:off x="2971800" y="1905000"/>
          <a:ext cx="169496" cy="222250"/>
          <a:chOff x="359" y="1004"/>
          <a:chExt cx="24" cy="35"/>
        </a:xfrm>
      </xdr:grpSpPr>
      <xdr:sp macro="" textlink="">
        <xdr:nvSpPr>
          <xdr:cNvPr id="47268" name="Oval 30">
            <a:extLst>
              <a:ext uri="{FF2B5EF4-FFF2-40B4-BE49-F238E27FC236}">
                <a16:creationId xmlns:a16="http://schemas.microsoft.com/office/drawing/2014/main" id="{59944B1B-AF6F-D76D-63D5-74D397904DF0}"/>
              </a:ext>
            </a:extLst>
          </xdr:cNvPr>
          <xdr:cNvSpPr>
            <a:spLocks noChangeArrowheads="1"/>
          </xdr:cNvSpPr>
        </xdr:nvSpPr>
        <xdr:spPr bwMode="auto">
          <a:xfrm>
            <a:off x="359" y="1004"/>
            <a:ext cx="24" cy="35"/>
          </a:xfrm>
          <a:prstGeom prst="ellipse">
            <a:avLst/>
          </a:prstGeom>
          <a:solidFill>
            <a:srgbClr val="FF0000">
              <a:alpha val="0"/>
            </a:srgbClr>
          </a:solidFill>
          <a:ln w="19050">
            <a:solidFill>
              <a:srgbClr val="FF0000"/>
            </a:solidFill>
            <a:round/>
            <a:headEnd/>
            <a:tailEnd/>
          </a:ln>
        </xdr:spPr>
      </xdr:sp>
      <xdr:sp macro="" textlink="">
        <xdr:nvSpPr>
          <xdr:cNvPr id="15" name="WordArt 31">
            <a:extLst>
              <a:ext uri="{FF2B5EF4-FFF2-40B4-BE49-F238E27FC236}">
                <a16:creationId xmlns:a16="http://schemas.microsoft.com/office/drawing/2014/main" id="{13E305F9-FE5E-DD9E-9884-390522D6AA70}"/>
              </a:ext>
            </a:extLst>
          </xdr:cNvPr>
          <xdr:cNvSpPr>
            <a:spLocks noChangeArrowheads="1" noChangeShapeType="1" noTextEdit="1"/>
          </xdr:cNvSpPr>
        </xdr:nvSpPr>
        <xdr:spPr bwMode="auto">
          <a:xfrm rot="5400000">
            <a:off x="357" y="1018"/>
            <a:ext cx="26" cy="10"/>
          </a:xfrm>
          <a:prstGeom prst="rect">
            <a:avLst/>
          </a:prstGeom>
        </xdr:spPr>
        <xdr:txBody>
          <a:bodyPr vert="eaVert" wrap="none" fromWordArt="1">
            <a:prstTxWarp prst="textPlain">
              <a:avLst>
                <a:gd name="adj" fmla="val 50000"/>
              </a:avLst>
            </a:prstTxWarp>
          </a:bodyPr>
          <a:lstStyle/>
          <a:p>
            <a:pPr algn="ctr" rtl="0" fontAlgn="auto"/>
            <a:r>
              <a:rPr lang="ja-JP" altLang="en-US" sz="3600" kern="10" spc="0">
                <a:ln w="9525">
                  <a:noFill/>
                  <a:round/>
                  <a:headEnd/>
                  <a:tailEnd/>
                </a:ln>
                <a:solidFill>
                  <a:srgbClr val="FF0000"/>
                </a:solidFill>
                <a:effectLst/>
                <a:latin typeface="ＭＳ Ｐゴシック"/>
                <a:ea typeface="ＭＳ Ｐゴシック"/>
              </a:rPr>
              <a:t>訂正印</a:t>
            </a:r>
          </a:p>
        </xdr:txBody>
      </xdr:sp>
    </xdr:grpSp>
    <xdr:clientData/>
  </xdr:twoCellAnchor>
  <xdr:twoCellAnchor>
    <xdr:from>
      <xdr:col>5</xdr:col>
      <xdr:colOff>246</xdr:colOff>
      <xdr:row>50</xdr:row>
      <xdr:rowOff>35901</xdr:rowOff>
    </xdr:from>
    <xdr:to>
      <xdr:col>19</xdr:col>
      <xdr:colOff>74248</xdr:colOff>
      <xdr:row>56</xdr:row>
      <xdr:rowOff>102577</xdr:rowOff>
    </xdr:to>
    <xdr:sp macro="" textlink="">
      <xdr:nvSpPr>
        <xdr:cNvPr id="16" name="WordArt 9">
          <a:extLst>
            <a:ext uri="{FF2B5EF4-FFF2-40B4-BE49-F238E27FC236}">
              <a16:creationId xmlns:a16="http://schemas.microsoft.com/office/drawing/2014/main" id="{5ED117E7-CA69-0C09-D23C-F1104310E0ED}"/>
            </a:ext>
          </a:extLst>
        </xdr:cNvPr>
        <xdr:cNvSpPr>
          <a:spLocks noChangeArrowheads="1" noChangeShapeType="1" noTextEdit="1"/>
        </xdr:cNvSpPr>
      </xdr:nvSpPr>
      <xdr:spPr bwMode="auto">
        <a:xfrm>
          <a:off x="629384" y="6263786"/>
          <a:ext cx="1817810" cy="814022"/>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・引越業者の手配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・インターネットの手続き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・テレビアンテナの調整手続き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・緊急対応サービスの手続き</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21248</xdr:colOff>
      <xdr:row>53</xdr:row>
      <xdr:rowOff>977</xdr:rowOff>
    </xdr:from>
    <xdr:to>
      <xdr:col>22</xdr:col>
      <xdr:colOff>75256</xdr:colOff>
      <xdr:row>54</xdr:row>
      <xdr:rowOff>36797</xdr:rowOff>
    </xdr:to>
    <xdr:sp macro="" textlink="">
      <xdr:nvSpPr>
        <xdr:cNvPr id="17" name="WordArt 9">
          <a:extLst>
            <a:ext uri="{FF2B5EF4-FFF2-40B4-BE49-F238E27FC236}">
              <a16:creationId xmlns:a16="http://schemas.microsoft.com/office/drawing/2014/main" id="{463BE62C-2886-BAC8-AF03-20EB09A8FD46}"/>
            </a:ext>
          </a:extLst>
        </xdr:cNvPr>
        <xdr:cNvSpPr>
          <a:spLocks noChangeArrowheads="1" noChangeShapeType="1" noTextEdit="1"/>
        </xdr:cNvSpPr>
      </xdr:nvSpPr>
      <xdr:spPr bwMode="auto">
        <a:xfrm>
          <a:off x="2512402" y="6608885"/>
          <a:ext cx="315791" cy="153864"/>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a:t>
          </a:r>
        </a:p>
      </xdr:txBody>
    </xdr:sp>
    <xdr:clientData/>
  </xdr:twoCellAnchor>
  <xdr:twoCellAnchor>
    <xdr:from>
      <xdr:col>23</xdr:col>
      <xdr:colOff>43961</xdr:colOff>
      <xdr:row>50</xdr:row>
      <xdr:rowOff>71803</xdr:rowOff>
    </xdr:from>
    <xdr:to>
      <xdr:col>36</xdr:col>
      <xdr:colOff>29308</xdr:colOff>
      <xdr:row>56</xdr:row>
      <xdr:rowOff>65942</xdr:rowOff>
    </xdr:to>
    <xdr:sp macro="" textlink="">
      <xdr:nvSpPr>
        <xdr:cNvPr id="18" name="WordArt 9">
          <a:extLst>
            <a:ext uri="{FF2B5EF4-FFF2-40B4-BE49-F238E27FC236}">
              <a16:creationId xmlns:a16="http://schemas.microsoft.com/office/drawing/2014/main" id="{98844F47-18DB-8158-3FE7-AA97101294CE}"/>
            </a:ext>
          </a:extLst>
        </xdr:cNvPr>
        <xdr:cNvSpPr>
          <a:spLocks noChangeArrowheads="1" noChangeShapeType="1" noTextEdit="1"/>
        </xdr:cNvSpPr>
      </xdr:nvSpPr>
      <xdr:spPr bwMode="auto">
        <a:xfrm>
          <a:off x="2908788" y="6299688"/>
          <a:ext cx="1604597" cy="741485"/>
        </a:xfrm>
        <a:prstGeom prst="rect">
          <a:avLst/>
        </a:prstGeom>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こちらのお手続きは大丈夫でしょうか？</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手間無くお手続き出来ますので、</a:t>
          </a:r>
          <a:endParaRPr lang="en-US" altLang="ja-JP"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endParaRPr>
        </a:p>
        <a:p>
          <a:pPr algn="ctr" rtl="0">
            <a:buNone/>
          </a:pPr>
          <a:r>
            <a:rPr lang="ja-JP" altLang="en-US" sz="3600" kern="10" spc="0">
              <a:ln>
                <a:noFill/>
              </a:ln>
              <a:solidFill>
                <a:srgbClr xmlns:mc="http://schemas.openxmlformats.org/markup-compatibility/2006" xmlns:a14="http://schemas.microsoft.com/office/drawing/2010/main" val="000000" mc:Ignorable="a14" a14:legacySpreadsheetColorIndex="8"/>
              </a:solidFill>
              <a:effectLst>
                <a:outerShdw dist="35921" dir="2700000" algn="ctr" rotWithShape="0">
                  <a:srgbClr val="C0C0C0">
                    <a:alpha val="80000"/>
                  </a:srgbClr>
                </a:outerShdw>
              </a:effectLst>
              <a:latin typeface="ＭＳ Ｐゴシック" panose="020B0600070205080204" pitchFamily="50" charset="-128"/>
              <a:ea typeface="ＭＳ Ｐゴシック" panose="020B0600070205080204" pitchFamily="50" charset="-128"/>
            </a:rPr>
            <a:t>遠慮なくお申し付け下さいませ♪</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120650</xdr:colOff>
      <xdr:row>1</xdr:row>
      <xdr:rowOff>19050</xdr:rowOff>
    </xdr:from>
    <xdr:to>
      <xdr:col>9</xdr:col>
      <xdr:colOff>349250</xdr:colOff>
      <xdr:row>4</xdr:row>
      <xdr:rowOff>19050</xdr:rowOff>
    </xdr:to>
    <xdr:sp macro="" textlink="">
      <xdr:nvSpPr>
        <xdr:cNvPr id="48425" name="AutoShape 1">
          <a:extLst>
            <a:ext uri="{FF2B5EF4-FFF2-40B4-BE49-F238E27FC236}">
              <a16:creationId xmlns:a16="http://schemas.microsoft.com/office/drawing/2014/main" id="{2215C861-18AC-E407-A34F-4384402AFF61}"/>
            </a:ext>
          </a:extLst>
        </xdr:cNvPr>
        <xdr:cNvSpPr>
          <a:spLocks noChangeArrowheads="1"/>
        </xdr:cNvSpPr>
      </xdr:nvSpPr>
      <xdr:spPr bwMode="auto">
        <a:xfrm>
          <a:off x="546100" y="190500"/>
          <a:ext cx="5054600" cy="495300"/>
        </a:xfrm>
        <a:prstGeom prst="roundRect">
          <a:avLst>
            <a:gd name="adj" fmla="val 16667"/>
          </a:avLst>
        </a:prstGeom>
        <a:solidFill>
          <a:srgbClr val="FFFFFF"/>
        </a:solidFill>
        <a:ln w="9525">
          <a:solidFill>
            <a:srgbClr val="000000"/>
          </a:solidFill>
          <a:round/>
          <a:headEnd/>
          <a:tailEnd/>
        </a:ln>
      </xdr:spPr>
    </xdr:sp>
    <xdr:clientData/>
  </xdr:twoCellAnchor>
  <xdr:twoCellAnchor>
    <xdr:from>
      <xdr:col>3</xdr:col>
      <xdr:colOff>209550</xdr:colOff>
      <xdr:row>1</xdr:row>
      <xdr:rowOff>79375</xdr:rowOff>
    </xdr:from>
    <xdr:to>
      <xdr:col>8</xdr:col>
      <xdr:colOff>38100</xdr:colOff>
      <xdr:row>3</xdr:row>
      <xdr:rowOff>88900</xdr:rowOff>
    </xdr:to>
    <xdr:sp macro="" textlink="">
      <xdr:nvSpPr>
        <xdr:cNvPr id="3" name="WordArt 2">
          <a:extLst>
            <a:ext uri="{FF2B5EF4-FFF2-40B4-BE49-F238E27FC236}">
              <a16:creationId xmlns:a16="http://schemas.microsoft.com/office/drawing/2014/main" id="{A3242B39-03AE-48F0-7C41-903B1B579898}"/>
            </a:ext>
          </a:extLst>
        </xdr:cNvPr>
        <xdr:cNvSpPr>
          <a:spLocks noChangeArrowheads="1" noChangeShapeType="1" noTextEdit="1"/>
        </xdr:cNvSpPr>
      </xdr:nvSpPr>
      <xdr:spPr bwMode="auto">
        <a:xfrm>
          <a:off x="2066925" y="257175"/>
          <a:ext cx="2809875" cy="352425"/>
        </a:xfrm>
        <a:prstGeom prst="rect">
          <a:avLst/>
        </a:prstGeom>
      </xdr:spPr>
      <xdr:txBody>
        <a:bodyPr wrap="none" fromWordArt="1">
          <a:prstTxWarp prst="textPlain">
            <a:avLst>
              <a:gd name="adj" fmla="val 50000"/>
            </a:avLst>
          </a:prstTxWarp>
        </a:bodyPr>
        <a:lstStyle/>
        <a:p>
          <a:pPr algn="ctr" rtl="0"/>
          <a:r>
            <a:rPr lang="ja-JP" altLang="en-US" sz="2800" kern="10" spc="0">
              <a:ln w="9525">
                <a:solidFill>
                  <a:srgbClr val="000000"/>
                </a:solidFill>
                <a:round/>
                <a:headEnd/>
                <a:tailEnd/>
              </a:ln>
              <a:solidFill>
                <a:srgbClr val="000000"/>
              </a:solidFill>
              <a:effectLst/>
              <a:latin typeface="ＭＳ 明朝"/>
              <a:ea typeface="ＭＳ 明朝"/>
            </a:rPr>
            <a:t>公共施設ご案内</a:t>
          </a:r>
        </a:p>
      </xdr:txBody>
    </xdr:sp>
    <xdr:clientData/>
  </xdr:twoCellAnchor>
  <xdr:twoCellAnchor>
    <xdr:from>
      <xdr:col>1</xdr:col>
      <xdr:colOff>120650</xdr:colOff>
      <xdr:row>2</xdr:row>
      <xdr:rowOff>101600</xdr:rowOff>
    </xdr:from>
    <xdr:to>
      <xdr:col>2</xdr:col>
      <xdr:colOff>374650</xdr:colOff>
      <xdr:row>4</xdr:row>
      <xdr:rowOff>76200</xdr:rowOff>
    </xdr:to>
    <xdr:sp macro="" textlink="">
      <xdr:nvSpPr>
        <xdr:cNvPr id="48427" name="AutoShape 3">
          <a:extLst>
            <a:ext uri="{FF2B5EF4-FFF2-40B4-BE49-F238E27FC236}">
              <a16:creationId xmlns:a16="http://schemas.microsoft.com/office/drawing/2014/main" id="{67062DAD-1194-5BD5-1F1E-50B4D402B663}"/>
            </a:ext>
          </a:extLst>
        </xdr:cNvPr>
        <xdr:cNvSpPr>
          <a:spLocks noChangeArrowheads="1"/>
        </xdr:cNvSpPr>
      </xdr:nvSpPr>
      <xdr:spPr bwMode="auto">
        <a:xfrm>
          <a:off x="546100" y="438150"/>
          <a:ext cx="609600" cy="304800"/>
        </a:xfrm>
        <a:prstGeom prst="rtTriangle">
          <a:avLst/>
        </a:prstGeom>
        <a:solidFill>
          <a:srgbClr val="FFFFFF"/>
        </a:solidFill>
        <a:ln w="9525">
          <a:solidFill>
            <a:srgbClr val="000000"/>
          </a:solidFill>
          <a:miter lim="800000"/>
          <a:headEnd/>
          <a:tailEnd/>
        </a:ln>
      </xdr:spPr>
    </xdr:sp>
    <xdr:clientData/>
  </xdr:twoCellAnchor>
  <xdr:twoCellAnchor>
    <xdr:from>
      <xdr:col>1</xdr:col>
      <xdr:colOff>120650</xdr:colOff>
      <xdr:row>0</xdr:row>
      <xdr:rowOff>127000</xdr:rowOff>
    </xdr:from>
    <xdr:to>
      <xdr:col>9</xdr:col>
      <xdr:colOff>349250</xdr:colOff>
      <xdr:row>4</xdr:row>
      <xdr:rowOff>76200</xdr:rowOff>
    </xdr:to>
    <xdr:sp macro="" textlink="">
      <xdr:nvSpPr>
        <xdr:cNvPr id="48428" name="Rectangle 4">
          <a:extLst>
            <a:ext uri="{FF2B5EF4-FFF2-40B4-BE49-F238E27FC236}">
              <a16:creationId xmlns:a16="http://schemas.microsoft.com/office/drawing/2014/main" id="{81966BA5-F6C5-C7AB-586B-03368988C6CC}"/>
            </a:ext>
          </a:extLst>
        </xdr:cNvPr>
        <xdr:cNvSpPr>
          <a:spLocks noChangeArrowheads="1"/>
        </xdr:cNvSpPr>
      </xdr:nvSpPr>
      <xdr:spPr bwMode="auto">
        <a:xfrm>
          <a:off x="546100" y="127000"/>
          <a:ext cx="5054600" cy="6159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679450</xdr:colOff>
      <xdr:row>0</xdr:row>
      <xdr:rowOff>127000</xdr:rowOff>
    </xdr:from>
    <xdr:to>
      <xdr:col>9</xdr:col>
      <xdr:colOff>349250</xdr:colOff>
      <xdr:row>2</xdr:row>
      <xdr:rowOff>88900</xdr:rowOff>
    </xdr:to>
    <xdr:sp macro="" textlink="">
      <xdr:nvSpPr>
        <xdr:cNvPr id="48429" name="AutoShape 5">
          <a:extLst>
            <a:ext uri="{FF2B5EF4-FFF2-40B4-BE49-F238E27FC236}">
              <a16:creationId xmlns:a16="http://schemas.microsoft.com/office/drawing/2014/main" id="{45EA90DE-6879-8AFC-06F3-21A22CE22B0B}"/>
            </a:ext>
          </a:extLst>
        </xdr:cNvPr>
        <xdr:cNvSpPr>
          <a:spLocks noChangeArrowheads="1"/>
        </xdr:cNvSpPr>
      </xdr:nvSpPr>
      <xdr:spPr bwMode="auto">
        <a:xfrm rot="10800000">
          <a:off x="5118100" y="127000"/>
          <a:ext cx="482600" cy="298450"/>
        </a:xfrm>
        <a:prstGeom prst="rtTriangle">
          <a:avLst/>
        </a:prstGeom>
        <a:solidFill>
          <a:srgbClr val="FFFFFF"/>
        </a:solidFill>
        <a:ln w="9525">
          <a:solidFill>
            <a:srgbClr val="000000"/>
          </a:solidFill>
          <a:miter lim="800000"/>
          <a:headEnd/>
          <a:tailEnd/>
        </a:ln>
      </xdr:spPr>
    </xdr:sp>
    <xdr:clientData/>
  </xdr:twoCellAnchor>
  <xdr:twoCellAnchor>
    <xdr:from>
      <xdr:col>8</xdr:col>
      <xdr:colOff>692150</xdr:colOff>
      <xdr:row>2</xdr:row>
      <xdr:rowOff>88900</xdr:rowOff>
    </xdr:from>
    <xdr:to>
      <xdr:col>9</xdr:col>
      <xdr:colOff>349250</xdr:colOff>
      <xdr:row>4</xdr:row>
      <xdr:rowOff>76200</xdr:rowOff>
    </xdr:to>
    <xdr:sp macro="" textlink="">
      <xdr:nvSpPr>
        <xdr:cNvPr id="48430" name="AutoShape 6">
          <a:extLst>
            <a:ext uri="{FF2B5EF4-FFF2-40B4-BE49-F238E27FC236}">
              <a16:creationId xmlns:a16="http://schemas.microsoft.com/office/drawing/2014/main" id="{6A944EC0-CC92-A962-F941-A8C29BD571C6}"/>
            </a:ext>
          </a:extLst>
        </xdr:cNvPr>
        <xdr:cNvSpPr>
          <a:spLocks noChangeArrowheads="1"/>
        </xdr:cNvSpPr>
      </xdr:nvSpPr>
      <xdr:spPr bwMode="auto">
        <a:xfrm rot="-5400000">
          <a:off x="5207000" y="349250"/>
          <a:ext cx="317500" cy="469900"/>
        </a:xfrm>
        <a:prstGeom prst="rtTriangle">
          <a:avLst/>
        </a:prstGeom>
        <a:solidFill>
          <a:srgbClr val="FFFFFF"/>
        </a:solidFill>
        <a:ln w="9525">
          <a:solidFill>
            <a:srgbClr val="000000"/>
          </a:solidFill>
          <a:miter lim="800000"/>
          <a:headEnd/>
          <a:tailEnd/>
        </a:ln>
      </xdr:spPr>
    </xdr:sp>
    <xdr:clientData/>
  </xdr:twoCellAnchor>
  <xdr:twoCellAnchor>
    <xdr:from>
      <xdr:col>1</xdr:col>
      <xdr:colOff>44450</xdr:colOff>
      <xdr:row>4</xdr:row>
      <xdr:rowOff>107950</xdr:rowOff>
    </xdr:from>
    <xdr:to>
      <xdr:col>9</xdr:col>
      <xdr:colOff>444500</xdr:colOff>
      <xdr:row>7</xdr:row>
      <xdr:rowOff>76200</xdr:rowOff>
    </xdr:to>
    <xdr:sp macro="" textlink="">
      <xdr:nvSpPr>
        <xdr:cNvPr id="48431" name="AutoShape 12">
          <a:extLst>
            <a:ext uri="{FF2B5EF4-FFF2-40B4-BE49-F238E27FC236}">
              <a16:creationId xmlns:a16="http://schemas.microsoft.com/office/drawing/2014/main" id="{6BEDA2C6-B301-D45D-22BA-A5521FCD704A}"/>
            </a:ext>
          </a:extLst>
        </xdr:cNvPr>
        <xdr:cNvSpPr>
          <a:spLocks noChangeArrowheads="1"/>
        </xdr:cNvSpPr>
      </xdr:nvSpPr>
      <xdr:spPr bwMode="auto">
        <a:xfrm>
          <a:off x="469900" y="774700"/>
          <a:ext cx="5226050" cy="463550"/>
        </a:xfrm>
        <a:prstGeom prst="roundRect">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120650</xdr:colOff>
      <xdr:row>2</xdr:row>
      <xdr:rowOff>63500</xdr:rowOff>
    </xdr:from>
    <xdr:to>
      <xdr:col>2</xdr:col>
      <xdr:colOff>863600</xdr:colOff>
      <xdr:row>2</xdr:row>
      <xdr:rowOff>139700</xdr:rowOff>
    </xdr:to>
    <xdr:sp macro="" textlink="">
      <xdr:nvSpPr>
        <xdr:cNvPr id="48432" name="Rectangle 13">
          <a:extLst>
            <a:ext uri="{FF2B5EF4-FFF2-40B4-BE49-F238E27FC236}">
              <a16:creationId xmlns:a16="http://schemas.microsoft.com/office/drawing/2014/main" id="{54095908-67D0-5495-F5C1-E94A78834517}"/>
            </a:ext>
          </a:extLst>
        </xdr:cNvPr>
        <xdr:cNvSpPr>
          <a:spLocks noChangeArrowheads="1"/>
        </xdr:cNvSpPr>
      </xdr:nvSpPr>
      <xdr:spPr bwMode="auto">
        <a:xfrm>
          <a:off x="546100" y="400050"/>
          <a:ext cx="1098550" cy="76200"/>
        </a:xfrm>
        <a:prstGeom prst="rect">
          <a:avLst/>
        </a:prstGeom>
        <a:solidFill>
          <a:srgbClr val="000000"/>
        </a:solidFill>
        <a:ln w="9525">
          <a:solidFill>
            <a:srgbClr val="000000"/>
          </a:solidFill>
          <a:miter lim="800000"/>
          <a:headEnd/>
          <a:tailEnd/>
        </a:ln>
      </xdr:spPr>
    </xdr:sp>
    <xdr:clientData/>
  </xdr:twoCellAnchor>
  <xdr:twoCellAnchor>
    <xdr:from>
      <xdr:col>8</xdr:col>
      <xdr:colOff>184150</xdr:colOff>
      <xdr:row>2</xdr:row>
      <xdr:rowOff>44450</xdr:rowOff>
    </xdr:from>
    <xdr:to>
      <xdr:col>9</xdr:col>
      <xdr:colOff>342900</xdr:colOff>
      <xdr:row>2</xdr:row>
      <xdr:rowOff>120650</xdr:rowOff>
    </xdr:to>
    <xdr:sp macro="" textlink="">
      <xdr:nvSpPr>
        <xdr:cNvPr id="48433" name="Rectangle 14">
          <a:extLst>
            <a:ext uri="{FF2B5EF4-FFF2-40B4-BE49-F238E27FC236}">
              <a16:creationId xmlns:a16="http://schemas.microsoft.com/office/drawing/2014/main" id="{0B5775AB-F6FE-5C4B-094D-E0322F877F06}"/>
            </a:ext>
          </a:extLst>
        </xdr:cNvPr>
        <xdr:cNvSpPr>
          <a:spLocks noChangeArrowheads="1"/>
        </xdr:cNvSpPr>
      </xdr:nvSpPr>
      <xdr:spPr bwMode="auto">
        <a:xfrm>
          <a:off x="4622800" y="381000"/>
          <a:ext cx="971550" cy="76200"/>
        </a:xfrm>
        <a:prstGeom prst="rect">
          <a:avLst/>
        </a:prstGeom>
        <a:solidFill>
          <a:srgbClr val="000000"/>
        </a:solidFill>
        <a:ln w="9525">
          <a:solidFill>
            <a:srgbClr val="000000"/>
          </a:solidFill>
          <a:miter lim="800000"/>
          <a:headEnd/>
          <a:tailEnd/>
        </a:ln>
      </xdr:spPr>
    </xdr:sp>
    <xdr:clientData/>
  </xdr:twoCellAnchor>
  <xdr:twoCellAnchor>
    <xdr:from>
      <xdr:col>1</xdr:col>
      <xdr:colOff>0</xdr:colOff>
      <xdr:row>56</xdr:row>
      <xdr:rowOff>0</xdr:rowOff>
    </xdr:from>
    <xdr:to>
      <xdr:col>10</xdr:col>
      <xdr:colOff>304800</xdr:colOff>
      <xdr:row>58</xdr:row>
      <xdr:rowOff>0</xdr:rowOff>
    </xdr:to>
    <xdr:sp macro="" textlink="">
      <xdr:nvSpPr>
        <xdr:cNvPr id="48434" name="Rectangle 26">
          <a:extLst>
            <a:ext uri="{FF2B5EF4-FFF2-40B4-BE49-F238E27FC236}">
              <a16:creationId xmlns:a16="http://schemas.microsoft.com/office/drawing/2014/main" id="{4BE15989-B948-B9CA-7401-B277761FC98B}"/>
            </a:ext>
          </a:extLst>
        </xdr:cNvPr>
        <xdr:cNvSpPr>
          <a:spLocks noChangeArrowheads="1"/>
        </xdr:cNvSpPr>
      </xdr:nvSpPr>
      <xdr:spPr bwMode="auto">
        <a:xfrm>
          <a:off x="425450" y="9690100"/>
          <a:ext cx="5943600" cy="304800"/>
        </a:xfrm>
        <a:prstGeom prst="rect">
          <a:avLst/>
        </a:prstGeom>
        <a:solidFill>
          <a:srgbClr val="000000"/>
        </a:solidFill>
        <a:ln w="9525">
          <a:solidFill>
            <a:srgbClr val="000000"/>
          </a:solidFill>
          <a:miter lim="800000"/>
          <a:headEnd/>
          <a:tailEnd/>
        </a:ln>
      </xdr:spPr>
    </xdr:sp>
    <xdr:clientData/>
  </xdr:twoCellAnchor>
  <xdr:twoCellAnchor>
    <xdr:from>
      <xdr:col>1</xdr:col>
      <xdr:colOff>111125</xdr:colOff>
      <xdr:row>56</xdr:row>
      <xdr:rowOff>66675</xdr:rowOff>
    </xdr:from>
    <xdr:to>
      <xdr:col>10</xdr:col>
      <xdr:colOff>142875</xdr:colOff>
      <xdr:row>57</xdr:row>
      <xdr:rowOff>123825</xdr:rowOff>
    </xdr:to>
    <xdr:sp macro="" textlink="">
      <xdr:nvSpPr>
        <xdr:cNvPr id="12" name="WordArt 28">
          <a:extLst>
            <a:ext uri="{FF2B5EF4-FFF2-40B4-BE49-F238E27FC236}">
              <a16:creationId xmlns:a16="http://schemas.microsoft.com/office/drawing/2014/main" id="{9345A568-73E7-6F64-9C96-99BBF8C36492}"/>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7</xdr:col>
      <xdr:colOff>31750</xdr:colOff>
      <xdr:row>58</xdr:row>
      <xdr:rowOff>38100</xdr:rowOff>
    </xdr:from>
    <xdr:to>
      <xdr:col>8</xdr:col>
      <xdr:colOff>6350</xdr:colOff>
      <xdr:row>59</xdr:row>
      <xdr:rowOff>107950</xdr:rowOff>
    </xdr:to>
    <xdr:sp macro="" textlink="">
      <xdr:nvSpPr>
        <xdr:cNvPr id="48436" name="Rectangle 29">
          <a:extLst>
            <a:ext uri="{FF2B5EF4-FFF2-40B4-BE49-F238E27FC236}">
              <a16:creationId xmlns:a16="http://schemas.microsoft.com/office/drawing/2014/main" id="{C2581D3F-E171-C5DE-1441-C80F308B16A3}"/>
            </a:ext>
          </a:extLst>
        </xdr:cNvPr>
        <xdr:cNvSpPr>
          <a:spLocks noChangeArrowheads="1"/>
        </xdr:cNvSpPr>
      </xdr:nvSpPr>
      <xdr:spPr bwMode="auto">
        <a:xfrm>
          <a:off x="3867150" y="10033000"/>
          <a:ext cx="577850" cy="234950"/>
        </a:xfrm>
        <a:prstGeom prst="rect">
          <a:avLst/>
        </a:prstGeom>
        <a:solidFill>
          <a:srgbClr val="000000"/>
        </a:solidFill>
        <a:ln w="9525">
          <a:solidFill>
            <a:srgbClr val="000000"/>
          </a:solidFill>
          <a:miter lim="800000"/>
          <a:headEnd/>
          <a:tailEnd/>
        </a:ln>
      </xdr:spPr>
    </xdr:sp>
    <xdr:clientData/>
  </xdr:twoCellAnchor>
  <xdr:twoCellAnchor>
    <xdr:from>
      <xdr:col>8</xdr:col>
      <xdr:colOff>69850</xdr:colOff>
      <xdr:row>58</xdr:row>
      <xdr:rowOff>38100</xdr:rowOff>
    </xdr:from>
    <xdr:to>
      <xdr:col>10</xdr:col>
      <xdr:colOff>260350</xdr:colOff>
      <xdr:row>59</xdr:row>
      <xdr:rowOff>107950</xdr:rowOff>
    </xdr:to>
    <xdr:sp macro="" textlink="">
      <xdr:nvSpPr>
        <xdr:cNvPr id="48437" name="Rectangle 30">
          <a:extLst>
            <a:ext uri="{FF2B5EF4-FFF2-40B4-BE49-F238E27FC236}">
              <a16:creationId xmlns:a16="http://schemas.microsoft.com/office/drawing/2014/main" id="{C19CCB76-C253-A65C-9E46-42C4E7DD912E}"/>
            </a:ext>
          </a:extLst>
        </xdr:cNvPr>
        <xdr:cNvSpPr>
          <a:spLocks noChangeArrowheads="1"/>
        </xdr:cNvSpPr>
      </xdr:nvSpPr>
      <xdr:spPr bwMode="auto">
        <a:xfrm>
          <a:off x="4508500" y="10033000"/>
          <a:ext cx="1816100" cy="234950"/>
        </a:xfrm>
        <a:prstGeom prst="rect">
          <a:avLst/>
        </a:prstGeom>
        <a:solidFill>
          <a:srgbClr val="000000"/>
        </a:solidFill>
        <a:ln w="9525">
          <a:solidFill>
            <a:srgbClr val="000000"/>
          </a:solidFill>
          <a:miter lim="800000"/>
          <a:headEnd/>
          <a:tailEnd/>
        </a:ln>
      </xdr:spPr>
    </xdr:sp>
    <xdr:clientData/>
  </xdr:twoCellAnchor>
  <xdr:twoCellAnchor>
    <xdr:from>
      <xdr:col>10</xdr:col>
      <xdr:colOff>323850</xdr:colOff>
      <xdr:row>58</xdr:row>
      <xdr:rowOff>38100</xdr:rowOff>
    </xdr:from>
    <xdr:to>
      <xdr:col>10</xdr:col>
      <xdr:colOff>889000</xdr:colOff>
      <xdr:row>59</xdr:row>
      <xdr:rowOff>107950</xdr:rowOff>
    </xdr:to>
    <xdr:sp macro="" textlink="">
      <xdr:nvSpPr>
        <xdr:cNvPr id="48438" name="Rectangle 31">
          <a:extLst>
            <a:ext uri="{FF2B5EF4-FFF2-40B4-BE49-F238E27FC236}">
              <a16:creationId xmlns:a16="http://schemas.microsoft.com/office/drawing/2014/main" id="{84FD036F-CC40-1E8B-3FC0-CC3F498B359A}"/>
            </a:ext>
          </a:extLst>
        </xdr:cNvPr>
        <xdr:cNvSpPr>
          <a:spLocks noChangeArrowheads="1"/>
        </xdr:cNvSpPr>
      </xdr:nvSpPr>
      <xdr:spPr bwMode="auto">
        <a:xfrm>
          <a:off x="6388100" y="10033000"/>
          <a:ext cx="565150" cy="234950"/>
        </a:xfrm>
        <a:prstGeom prst="rect">
          <a:avLst/>
        </a:prstGeom>
        <a:solidFill>
          <a:srgbClr val="000000"/>
        </a:solidFill>
        <a:ln w="9525">
          <a:solidFill>
            <a:srgbClr val="000000"/>
          </a:solidFill>
          <a:miter lim="800000"/>
          <a:headEnd/>
          <a:tailEnd/>
        </a:ln>
      </xdr:spPr>
    </xdr:sp>
    <xdr:clientData/>
  </xdr:twoCellAnchor>
  <xdr:twoCellAnchor>
    <xdr:from>
      <xdr:col>7</xdr:col>
      <xdr:colOff>31750</xdr:colOff>
      <xdr:row>66</xdr:row>
      <xdr:rowOff>57150</xdr:rowOff>
    </xdr:from>
    <xdr:to>
      <xdr:col>8</xdr:col>
      <xdr:colOff>6350</xdr:colOff>
      <xdr:row>66</xdr:row>
      <xdr:rowOff>158750</xdr:rowOff>
    </xdr:to>
    <xdr:sp macro="" textlink="">
      <xdr:nvSpPr>
        <xdr:cNvPr id="48439" name="Rectangle 32">
          <a:extLst>
            <a:ext uri="{FF2B5EF4-FFF2-40B4-BE49-F238E27FC236}">
              <a16:creationId xmlns:a16="http://schemas.microsoft.com/office/drawing/2014/main" id="{6AAA781F-880D-2316-D23C-94AF1E5DA9C1}"/>
            </a:ext>
          </a:extLst>
        </xdr:cNvPr>
        <xdr:cNvSpPr>
          <a:spLocks noChangeArrowheads="1"/>
        </xdr:cNvSpPr>
      </xdr:nvSpPr>
      <xdr:spPr bwMode="auto">
        <a:xfrm>
          <a:off x="3867150" y="11372850"/>
          <a:ext cx="577850" cy="101600"/>
        </a:xfrm>
        <a:prstGeom prst="rect">
          <a:avLst/>
        </a:prstGeom>
        <a:solidFill>
          <a:srgbClr val="000000"/>
        </a:solidFill>
        <a:ln w="9525">
          <a:solidFill>
            <a:srgbClr val="000000"/>
          </a:solidFill>
          <a:miter lim="800000"/>
          <a:headEnd/>
          <a:tailEnd/>
        </a:ln>
      </xdr:spPr>
    </xdr:sp>
    <xdr:clientData/>
  </xdr:twoCellAnchor>
  <xdr:twoCellAnchor>
    <xdr:from>
      <xdr:col>10</xdr:col>
      <xdr:colOff>323850</xdr:colOff>
      <xdr:row>66</xdr:row>
      <xdr:rowOff>57150</xdr:rowOff>
    </xdr:from>
    <xdr:to>
      <xdr:col>10</xdr:col>
      <xdr:colOff>882650</xdr:colOff>
      <xdr:row>66</xdr:row>
      <xdr:rowOff>158750</xdr:rowOff>
    </xdr:to>
    <xdr:sp macro="" textlink="">
      <xdr:nvSpPr>
        <xdr:cNvPr id="48440" name="Rectangle 33">
          <a:extLst>
            <a:ext uri="{FF2B5EF4-FFF2-40B4-BE49-F238E27FC236}">
              <a16:creationId xmlns:a16="http://schemas.microsoft.com/office/drawing/2014/main" id="{3E9943E4-0C5F-C025-6CC0-C24B4A409E4D}"/>
            </a:ext>
          </a:extLst>
        </xdr:cNvPr>
        <xdr:cNvSpPr>
          <a:spLocks noChangeArrowheads="1"/>
        </xdr:cNvSpPr>
      </xdr:nvSpPr>
      <xdr:spPr bwMode="auto">
        <a:xfrm>
          <a:off x="6388100" y="11372850"/>
          <a:ext cx="558800" cy="101600"/>
        </a:xfrm>
        <a:prstGeom prst="rect">
          <a:avLst/>
        </a:prstGeom>
        <a:solidFill>
          <a:srgbClr val="000000"/>
        </a:solidFill>
        <a:ln w="9525">
          <a:solidFill>
            <a:srgbClr val="000000"/>
          </a:solidFill>
          <a:miter lim="800000"/>
          <a:headEnd/>
          <a:tailEnd/>
        </a:ln>
      </xdr:spPr>
    </xdr:sp>
    <xdr:clientData/>
  </xdr:twoCellAnchor>
  <xdr:twoCellAnchor>
    <xdr:from>
      <xdr:col>8</xdr:col>
      <xdr:colOff>69850</xdr:colOff>
      <xdr:row>66</xdr:row>
      <xdr:rowOff>57150</xdr:rowOff>
    </xdr:from>
    <xdr:to>
      <xdr:col>10</xdr:col>
      <xdr:colOff>260350</xdr:colOff>
      <xdr:row>66</xdr:row>
      <xdr:rowOff>158750</xdr:rowOff>
    </xdr:to>
    <xdr:sp macro="" textlink="">
      <xdr:nvSpPr>
        <xdr:cNvPr id="48441" name="Rectangle 34">
          <a:extLst>
            <a:ext uri="{FF2B5EF4-FFF2-40B4-BE49-F238E27FC236}">
              <a16:creationId xmlns:a16="http://schemas.microsoft.com/office/drawing/2014/main" id="{51B7A1C2-3AB6-B041-4C62-F21DC6F910B5}"/>
            </a:ext>
          </a:extLst>
        </xdr:cNvPr>
        <xdr:cNvSpPr>
          <a:spLocks noChangeArrowheads="1"/>
        </xdr:cNvSpPr>
      </xdr:nvSpPr>
      <xdr:spPr bwMode="auto">
        <a:xfrm>
          <a:off x="4508500" y="11372850"/>
          <a:ext cx="1816100" cy="101600"/>
        </a:xfrm>
        <a:prstGeom prst="rect">
          <a:avLst/>
        </a:prstGeom>
        <a:solidFill>
          <a:srgbClr val="000000"/>
        </a:solidFill>
        <a:ln w="9525">
          <a:solidFill>
            <a:srgbClr val="000000"/>
          </a:solidFill>
          <a:miter lim="800000"/>
          <a:headEnd/>
          <a:tailEnd/>
        </a:ln>
      </xdr:spPr>
    </xdr:sp>
    <xdr:clientData/>
  </xdr:twoCellAnchor>
  <xdr:twoCellAnchor>
    <xdr:from>
      <xdr:col>0</xdr:col>
      <xdr:colOff>25400</xdr:colOff>
      <xdr:row>58</xdr:row>
      <xdr:rowOff>38100</xdr:rowOff>
    </xdr:from>
    <xdr:to>
      <xdr:col>6</xdr:col>
      <xdr:colOff>317500</xdr:colOff>
      <xdr:row>67</xdr:row>
      <xdr:rowOff>0</xdr:rowOff>
    </xdr:to>
    <xdr:sp macro="" textlink="">
      <xdr:nvSpPr>
        <xdr:cNvPr id="48442" name="AutoShape 63">
          <a:extLst>
            <a:ext uri="{FF2B5EF4-FFF2-40B4-BE49-F238E27FC236}">
              <a16:creationId xmlns:a16="http://schemas.microsoft.com/office/drawing/2014/main" id="{A3F4D2CE-31B3-DC41-F74F-3B95D4818150}"/>
            </a:ext>
          </a:extLst>
        </xdr:cNvPr>
        <xdr:cNvSpPr>
          <a:spLocks noChangeArrowheads="1"/>
        </xdr:cNvSpPr>
      </xdr:nvSpPr>
      <xdr:spPr bwMode="auto">
        <a:xfrm>
          <a:off x="25400" y="10033000"/>
          <a:ext cx="3803650" cy="1447800"/>
        </a:xfrm>
        <a:prstGeom prst="foldedCorner">
          <a:avLst>
            <a:gd name="adj" fmla="val 12500"/>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0</xdr:col>
      <xdr:colOff>6350</xdr:colOff>
      <xdr:row>41</xdr:row>
      <xdr:rowOff>114300</xdr:rowOff>
    </xdr:from>
    <xdr:to>
      <xdr:col>3</xdr:col>
      <xdr:colOff>412750</xdr:colOff>
      <xdr:row>42</xdr:row>
      <xdr:rowOff>0</xdr:rowOff>
    </xdr:to>
    <xdr:sp macro="" textlink="">
      <xdr:nvSpPr>
        <xdr:cNvPr id="48443" name="Rectangle 71">
          <a:extLst>
            <a:ext uri="{FF2B5EF4-FFF2-40B4-BE49-F238E27FC236}">
              <a16:creationId xmlns:a16="http://schemas.microsoft.com/office/drawing/2014/main" id="{EE986361-0338-0A49-9CD8-9351455BB867}"/>
            </a:ext>
          </a:extLst>
        </xdr:cNvPr>
        <xdr:cNvSpPr>
          <a:spLocks noChangeArrowheads="1"/>
        </xdr:cNvSpPr>
      </xdr:nvSpPr>
      <xdr:spPr bwMode="auto">
        <a:xfrm>
          <a:off x="6350" y="7366000"/>
          <a:ext cx="2089150" cy="76200"/>
        </a:xfrm>
        <a:prstGeom prst="rect">
          <a:avLst/>
        </a:prstGeom>
        <a:solidFill>
          <a:srgbClr val="000000"/>
        </a:solidFill>
        <a:ln w="9525">
          <a:solidFill>
            <a:srgbClr val="000000"/>
          </a:solidFill>
          <a:miter lim="800000"/>
          <a:headEnd/>
          <a:tailEnd/>
        </a:ln>
      </xdr:spPr>
    </xdr:sp>
    <xdr:clientData/>
  </xdr:twoCellAnchor>
  <xdr:twoCellAnchor>
    <xdr:from>
      <xdr:col>9</xdr:col>
      <xdr:colOff>6350</xdr:colOff>
      <xdr:row>39</xdr:row>
      <xdr:rowOff>12700</xdr:rowOff>
    </xdr:from>
    <xdr:to>
      <xdr:col>10</xdr:col>
      <xdr:colOff>1047750</xdr:colOff>
      <xdr:row>39</xdr:row>
      <xdr:rowOff>82550</xdr:rowOff>
    </xdr:to>
    <xdr:sp macro="" textlink="">
      <xdr:nvSpPr>
        <xdr:cNvPr id="48444" name="Rectangle 72">
          <a:extLst>
            <a:ext uri="{FF2B5EF4-FFF2-40B4-BE49-F238E27FC236}">
              <a16:creationId xmlns:a16="http://schemas.microsoft.com/office/drawing/2014/main" id="{F800BAB8-B31A-819F-3EC2-BD0396EAD236}"/>
            </a:ext>
          </a:extLst>
        </xdr:cNvPr>
        <xdr:cNvSpPr>
          <a:spLocks noChangeArrowheads="1"/>
        </xdr:cNvSpPr>
      </xdr:nvSpPr>
      <xdr:spPr bwMode="auto">
        <a:xfrm>
          <a:off x="5257800" y="6883400"/>
          <a:ext cx="1854200" cy="69850"/>
        </a:xfrm>
        <a:prstGeom prst="rect">
          <a:avLst/>
        </a:prstGeom>
        <a:solidFill>
          <a:srgbClr val="000000"/>
        </a:solidFill>
        <a:ln w="9525">
          <a:solidFill>
            <a:srgbClr val="000000"/>
          </a:solidFill>
          <a:miter lim="800000"/>
          <a:headEnd/>
          <a:tailEnd/>
        </a:ln>
      </xdr:spPr>
    </xdr:sp>
    <xdr:clientData/>
  </xdr:twoCellAnchor>
  <xdr:twoCellAnchor>
    <xdr:from>
      <xdr:col>9</xdr:col>
      <xdr:colOff>6350</xdr:colOff>
      <xdr:row>41</xdr:row>
      <xdr:rowOff>107950</xdr:rowOff>
    </xdr:from>
    <xdr:to>
      <xdr:col>10</xdr:col>
      <xdr:colOff>1047750</xdr:colOff>
      <xdr:row>41</xdr:row>
      <xdr:rowOff>177800</xdr:rowOff>
    </xdr:to>
    <xdr:sp macro="" textlink="">
      <xdr:nvSpPr>
        <xdr:cNvPr id="48445" name="Rectangle 73">
          <a:extLst>
            <a:ext uri="{FF2B5EF4-FFF2-40B4-BE49-F238E27FC236}">
              <a16:creationId xmlns:a16="http://schemas.microsoft.com/office/drawing/2014/main" id="{85FF7524-2967-A735-499A-CFC69A7BF4E3}"/>
            </a:ext>
          </a:extLst>
        </xdr:cNvPr>
        <xdr:cNvSpPr>
          <a:spLocks noChangeArrowheads="1"/>
        </xdr:cNvSpPr>
      </xdr:nvSpPr>
      <xdr:spPr bwMode="auto">
        <a:xfrm>
          <a:off x="5257800" y="7359650"/>
          <a:ext cx="1854200" cy="69850"/>
        </a:xfrm>
        <a:prstGeom prst="rect">
          <a:avLst/>
        </a:prstGeom>
        <a:solidFill>
          <a:srgbClr val="000000"/>
        </a:solidFill>
        <a:ln w="9525">
          <a:solidFill>
            <a:srgbClr val="000000"/>
          </a:solidFill>
          <a:miter lim="800000"/>
          <a:headEnd/>
          <a:tailEnd/>
        </a:ln>
      </xdr:spPr>
    </xdr:sp>
    <xdr:clientData/>
  </xdr:twoCellAnchor>
  <xdr:twoCellAnchor>
    <xdr:from>
      <xdr:col>0</xdr:col>
      <xdr:colOff>6350</xdr:colOff>
      <xdr:row>39</xdr:row>
      <xdr:rowOff>12700</xdr:rowOff>
    </xdr:from>
    <xdr:to>
      <xdr:col>3</xdr:col>
      <xdr:colOff>400050</xdr:colOff>
      <xdr:row>39</xdr:row>
      <xdr:rowOff>82550</xdr:rowOff>
    </xdr:to>
    <xdr:sp macro="" textlink="">
      <xdr:nvSpPr>
        <xdr:cNvPr id="48446" name="Rectangle 70">
          <a:extLst>
            <a:ext uri="{FF2B5EF4-FFF2-40B4-BE49-F238E27FC236}">
              <a16:creationId xmlns:a16="http://schemas.microsoft.com/office/drawing/2014/main" id="{063762DA-4682-4AD3-B828-E253717AFAF2}"/>
            </a:ext>
          </a:extLst>
        </xdr:cNvPr>
        <xdr:cNvSpPr>
          <a:spLocks noChangeArrowheads="1"/>
        </xdr:cNvSpPr>
      </xdr:nvSpPr>
      <xdr:spPr bwMode="auto">
        <a:xfrm>
          <a:off x="6350" y="6883400"/>
          <a:ext cx="2076450" cy="69850"/>
        </a:xfrm>
        <a:prstGeom prst="rect">
          <a:avLst/>
        </a:prstGeom>
        <a:solidFill>
          <a:srgbClr val="000000"/>
        </a:solidFill>
        <a:ln w="9525">
          <a:solidFill>
            <a:srgbClr val="000000"/>
          </a:solidFill>
          <a:miter lim="800000"/>
          <a:headEnd/>
          <a:tailEnd/>
        </a:ln>
      </xdr:spPr>
    </xdr:sp>
    <xdr:clientData/>
  </xdr:twoCellAnchor>
  <xdr:twoCellAnchor>
    <xdr:from>
      <xdr:col>3</xdr:col>
      <xdr:colOff>44450</xdr:colOff>
      <xdr:row>39</xdr:row>
      <xdr:rowOff>0</xdr:rowOff>
    </xdr:from>
    <xdr:to>
      <xdr:col>9</xdr:col>
      <xdr:colOff>184150</xdr:colOff>
      <xdr:row>39</xdr:row>
      <xdr:rowOff>114300</xdr:rowOff>
    </xdr:to>
    <xdr:sp macro="" textlink="">
      <xdr:nvSpPr>
        <xdr:cNvPr id="48447" name="Rectangle 78">
          <a:extLst>
            <a:ext uri="{FF2B5EF4-FFF2-40B4-BE49-F238E27FC236}">
              <a16:creationId xmlns:a16="http://schemas.microsoft.com/office/drawing/2014/main" id="{F9070AF2-B254-D5CE-4E77-C15A6D43BA5C}"/>
            </a:ext>
          </a:extLst>
        </xdr:cNvPr>
        <xdr:cNvSpPr>
          <a:spLocks noChangeArrowheads="1"/>
        </xdr:cNvSpPr>
      </xdr:nvSpPr>
      <xdr:spPr bwMode="auto">
        <a:xfrm>
          <a:off x="1727200" y="6870700"/>
          <a:ext cx="3708400" cy="114300"/>
        </a:xfrm>
        <a:prstGeom prst="rect">
          <a:avLst/>
        </a:prstGeom>
        <a:solidFill>
          <a:srgbClr val="FFFFFF"/>
        </a:solidFill>
        <a:ln w="9525">
          <a:solidFill>
            <a:srgbClr val="000000"/>
          </a:solidFill>
          <a:miter lim="800000"/>
          <a:headEnd/>
          <a:tailEnd/>
        </a:ln>
      </xdr:spPr>
    </xdr:sp>
    <xdr:clientData/>
  </xdr:twoCellAnchor>
  <xdr:twoCellAnchor>
    <xdr:from>
      <xdr:col>3</xdr:col>
      <xdr:colOff>44450</xdr:colOff>
      <xdr:row>41</xdr:row>
      <xdr:rowOff>76200</xdr:rowOff>
    </xdr:from>
    <xdr:to>
      <xdr:col>9</xdr:col>
      <xdr:colOff>184150</xdr:colOff>
      <xdr:row>42</xdr:row>
      <xdr:rowOff>12700</xdr:rowOff>
    </xdr:to>
    <xdr:sp macro="" textlink="">
      <xdr:nvSpPr>
        <xdr:cNvPr id="48448" name="Rectangle 79">
          <a:extLst>
            <a:ext uri="{FF2B5EF4-FFF2-40B4-BE49-F238E27FC236}">
              <a16:creationId xmlns:a16="http://schemas.microsoft.com/office/drawing/2014/main" id="{9F172D4E-3A55-C61B-31B7-66DBD1B0826A}"/>
            </a:ext>
          </a:extLst>
        </xdr:cNvPr>
        <xdr:cNvSpPr>
          <a:spLocks noChangeArrowheads="1"/>
        </xdr:cNvSpPr>
      </xdr:nvSpPr>
      <xdr:spPr bwMode="auto">
        <a:xfrm>
          <a:off x="1727200" y="7327900"/>
          <a:ext cx="3708400" cy="127000"/>
        </a:xfrm>
        <a:prstGeom prst="rect">
          <a:avLst/>
        </a:prstGeom>
        <a:solidFill>
          <a:srgbClr val="FFFFFF"/>
        </a:solidFill>
        <a:ln w="9525">
          <a:solidFill>
            <a:srgbClr val="000000"/>
          </a:solidFill>
          <a:miter lim="800000"/>
          <a:headEnd/>
          <a:tailEnd/>
        </a:ln>
      </xdr:spPr>
    </xdr:sp>
    <xdr:clientData/>
  </xdr:twoCellAnchor>
  <xdr:twoCellAnchor>
    <xdr:from>
      <xdr:col>0</xdr:col>
      <xdr:colOff>31750</xdr:colOff>
      <xdr:row>58</xdr:row>
      <xdr:rowOff>22225</xdr:rowOff>
    </xdr:from>
    <xdr:to>
      <xdr:col>3</xdr:col>
      <xdr:colOff>228600</xdr:colOff>
      <xdr:row>61</xdr:row>
      <xdr:rowOff>38140</xdr:rowOff>
    </xdr:to>
    <xdr:sp macro="" textlink="">
      <xdr:nvSpPr>
        <xdr:cNvPr id="26" name="WordArt 82">
          <a:extLst>
            <a:ext uri="{FF2B5EF4-FFF2-40B4-BE49-F238E27FC236}">
              <a16:creationId xmlns:a16="http://schemas.microsoft.com/office/drawing/2014/main" id="{E503D465-29EF-4566-B999-339A50F5E3E1}"/>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3</xdr:col>
      <xdr:colOff>139700</xdr:colOff>
      <xdr:row>58</xdr:row>
      <xdr:rowOff>79375</xdr:rowOff>
    </xdr:from>
    <xdr:to>
      <xdr:col>6</xdr:col>
      <xdr:colOff>190500</xdr:colOff>
      <xdr:row>60</xdr:row>
      <xdr:rowOff>127000</xdr:rowOff>
    </xdr:to>
    <xdr:sp macro="" textlink="">
      <xdr:nvSpPr>
        <xdr:cNvPr id="27" name="WordArt 83">
          <a:extLst>
            <a:ext uri="{FF2B5EF4-FFF2-40B4-BE49-F238E27FC236}">
              <a16:creationId xmlns:a16="http://schemas.microsoft.com/office/drawing/2014/main" id="{E14B0F44-A61B-5016-0DEF-B685E3401110}"/>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7</xdr:col>
      <xdr:colOff>111125</xdr:colOff>
      <xdr:row>61</xdr:row>
      <xdr:rowOff>98425</xdr:rowOff>
    </xdr:from>
    <xdr:to>
      <xdr:col>10</xdr:col>
      <xdr:colOff>819083</xdr:colOff>
      <xdr:row>65</xdr:row>
      <xdr:rowOff>98425</xdr:rowOff>
    </xdr:to>
    <xdr:sp macro="" textlink="">
      <xdr:nvSpPr>
        <xdr:cNvPr id="9531" name="WordArt 83">
          <a:extLst>
            <a:ext uri="{FF2B5EF4-FFF2-40B4-BE49-F238E27FC236}">
              <a16:creationId xmlns:a16="http://schemas.microsoft.com/office/drawing/2014/main" id="{3BDD7EEE-BDF8-A17A-A70D-E3E0DA5DB597}"/>
            </a:ext>
          </a:extLst>
        </xdr:cNvPr>
        <xdr:cNvSpPr>
          <a:spLocks noChangeArrowheads="1" noChangeShapeType="1"/>
        </xdr:cNvSpPr>
      </xdr:nvSpPr>
      <xdr:spPr bwMode="auto">
        <a:xfrm>
          <a:off x="4305300" y="10791825"/>
          <a:ext cx="3200400" cy="685800"/>
        </a:xfrm>
        <a:prstGeom prst="rect">
          <a:avLst/>
        </a:prstGeom>
        <a:noFill/>
        <a:ln>
          <a:noFill/>
        </a:ln>
      </xdr:spPr>
      <xdr:txBody>
        <a:bodyPr vertOverflow="clip" wrap="square" lIns="27432" tIns="18288" rIns="27432" bIns="0" anchor="t" upright="1"/>
        <a:lstStyle/>
        <a:p>
          <a:pPr algn="ctr" rtl="0">
            <a:lnSpc>
              <a:spcPts val="1400"/>
            </a:lnSpc>
            <a:defRPr sz="1000"/>
          </a:pPr>
          <a:r>
            <a:rPr lang="ja-JP" altLang="en-US" sz="1200" b="0" i="1" u="none" strike="noStrike" baseline="0">
              <a:solidFill>
                <a:srgbClr val="000000"/>
              </a:solidFill>
              <a:latin typeface="ＭＳ Ｐゴシック"/>
              <a:ea typeface="ＭＳ Ｐゴシック"/>
            </a:rPr>
            <a:t>審査終了後で有りましたら、お手続き可能です！</a:t>
          </a:r>
        </a:p>
        <a:p>
          <a:pPr algn="ctr" rtl="0">
            <a:lnSpc>
              <a:spcPts val="1300"/>
            </a:lnSpc>
            <a:defRPr sz="1000"/>
          </a:pPr>
          <a:r>
            <a:rPr lang="ja-JP" altLang="en-US" sz="1200" b="0" i="1" u="none" strike="noStrike" baseline="0">
              <a:solidFill>
                <a:srgbClr val="000000"/>
              </a:solidFill>
              <a:latin typeface="ＭＳ Ｐゴシック"/>
              <a:ea typeface="ＭＳ Ｐゴシック"/>
            </a:rPr>
            <a:t>必ず入居までに手続きお願い致します。</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56</xdr:row>
      <xdr:rowOff>66675</xdr:rowOff>
    </xdr:from>
    <xdr:to>
      <xdr:col>0</xdr:col>
      <xdr:colOff>0</xdr:colOff>
      <xdr:row>57</xdr:row>
      <xdr:rowOff>123825</xdr:rowOff>
    </xdr:to>
    <xdr:sp macro="" textlink="">
      <xdr:nvSpPr>
        <xdr:cNvPr id="12" name="WordArt 28">
          <a:extLst>
            <a:ext uri="{FF2B5EF4-FFF2-40B4-BE49-F238E27FC236}">
              <a16:creationId xmlns:a16="http://schemas.microsoft.com/office/drawing/2014/main" id="{2657D4BE-A474-3770-4DE9-1451E572EFC9}"/>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0</xdr:col>
      <xdr:colOff>0</xdr:colOff>
      <xdr:row>41</xdr:row>
      <xdr:rowOff>114300</xdr:rowOff>
    </xdr:from>
    <xdr:to>
      <xdr:col>0</xdr:col>
      <xdr:colOff>0</xdr:colOff>
      <xdr:row>42</xdr:row>
      <xdr:rowOff>0</xdr:rowOff>
    </xdr:to>
    <xdr:sp macro="" textlink="">
      <xdr:nvSpPr>
        <xdr:cNvPr id="49263" name="Rectangle 71">
          <a:extLst>
            <a:ext uri="{FF2B5EF4-FFF2-40B4-BE49-F238E27FC236}">
              <a16:creationId xmlns:a16="http://schemas.microsoft.com/office/drawing/2014/main" id="{73019F5F-3174-FC6C-5358-FC127DB24AF2}"/>
            </a:ext>
          </a:extLst>
        </xdr:cNvPr>
        <xdr:cNvSpPr>
          <a:spLocks noChangeArrowheads="1"/>
        </xdr:cNvSpPr>
      </xdr:nvSpPr>
      <xdr:spPr bwMode="auto">
        <a:xfrm>
          <a:off x="0" y="74041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12700</xdr:rowOff>
    </xdr:from>
    <xdr:to>
      <xdr:col>0</xdr:col>
      <xdr:colOff>0</xdr:colOff>
      <xdr:row>39</xdr:row>
      <xdr:rowOff>88900</xdr:rowOff>
    </xdr:to>
    <xdr:sp macro="" textlink="">
      <xdr:nvSpPr>
        <xdr:cNvPr id="49264" name="Rectangle 72">
          <a:extLst>
            <a:ext uri="{FF2B5EF4-FFF2-40B4-BE49-F238E27FC236}">
              <a16:creationId xmlns:a16="http://schemas.microsoft.com/office/drawing/2014/main" id="{1512232C-DD31-CB17-1EB2-99290DCEC5A8}"/>
            </a:ext>
          </a:extLst>
        </xdr:cNvPr>
        <xdr:cNvSpPr>
          <a:spLocks noChangeArrowheads="1"/>
        </xdr:cNvSpPr>
      </xdr:nvSpPr>
      <xdr:spPr bwMode="auto">
        <a:xfrm>
          <a:off x="0" y="69215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41</xdr:row>
      <xdr:rowOff>107950</xdr:rowOff>
    </xdr:from>
    <xdr:to>
      <xdr:col>0</xdr:col>
      <xdr:colOff>0</xdr:colOff>
      <xdr:row>41</xdr:row>
      <xdr:rowOff>184150</xdr:rowOff>
    </xdr:to>
    <xdr:sp macro="" textlink="">
      <xdr:nvSpPr>
        <xdr:cNvPr id="49265" name="Rectangle 73">
          <a:extLst>
            <a:ext uri="{FF2B5EF4-FFF2-40B4-BE49-F238E27FC236}">
              <a16:creationId xmlns:a16="http://schemas.microsoft.com/office/drawing/2014/main" id="{6A059708-9D45-425A-449A-45491CB06C0E}"/>
            </a:ext>
          </a:extLst>
        </xdr:cNvPr>
        <xdr:cNvSpPr>
          <a:spLocks noChangeArrowheads="1"/>
        </xdr:cNvSpPr>
      </xdr:nvSpPr>
      <xdr:spPr bwMode="auto">
        <a:xfrm>
          <a:off x="0" y="739775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12700</xdr:rowOff>
    </xdr:from>
    <xdr:to>
      <xdr:col>0</xdr:col>
      <xdr:colOff>0</xdr:colOff>
      <xdr:row>39</xdr:row>
      <xdr:rowOff>88900</xdr:rowOff>
    </xdr:to>
    <xdr:sp macro="" textlink="">
      <xdr:nvSpPr>
        <xdr:cNvPr id="49266" name="Rectangle 70">
          <a:extLst>
            <a:ext uri="{FF2B5EF4-FFF2-40B4-BE49-F238E27FC236}">
              <a16:creationId xmlns:a16="http://schemas.microsoft.com/office/drawing/2014/main" id="{50CCB15F-31A3-D761-EB92-0D33C29323A4}"/>
            </a:ext>
          </a:extLst>
        </xdr:cNvPr>
        <xdr:cNvSpPr>
          <a:spLocks noChangeArrowheads="1"/>
        </xdr:cNvSpPr>
      </xdr:nvSpPr>
      <xdr:spPr bwMode="auto">
        <a:xfrm>
          <a:off x="0" y="6921500"/>
          <a:ext cx="0" cy="76200"/>
        </a:xfrm>
        <a:prstGeom prst="rect">
          <a:avLst/>
        </a:prstGeom>
        <a:solidFill>
          <a:srgbClr val="000000"/>
        </a:solidFill>
        <a:ln w="9525">
          <a:solidFill>
            <a:srgbClr val="000000"/>
          </a:solidFill>
          <a:miter lim="800000"/>
          <a:headEnd/>
          <a:tailEnd/>
        </a:ln>
      </xdr:spPr>
    </xdr:sp>
    <xdr:clientData/>
  </xdr:twoCellAnchor>
  <xdr:twoCellAnchor>
    <xdr:from>
      <xdr:col>0</xdr:col>
      <xdr:colOff>0</xdr:colOff>
      <xdr:row>39</xdr:row>
      <xdr:rowOff>0</xdr:rowOff>
    </xdr:from>
    <xdr:to>
      <xdr:col>0</xdr:col>
      <xdr:colOff>0</xdr:colOff>
      <xdr:row>39</xdr:row>
      <xdr:rowOff>114300</xdr:rowOff>
    </xdr:to>
    <xdr:sp macro="" textlink="">
      <xdr:nvSpPr>
        <xdr:cNvPr id="49267" name="Rectangle 78">
          <a:extLst>
            <a:ext uri="{FF2B5EF4-FFF2-40B4-BE49-F238E27FC236}">
              <a16:creationId xmlns:a16="http://schemas.microsoft.com/office/drawing/2014/main" id="{9712878B-CEFC-8719-3588-CF5D97945301}"/>
            </a:ext>
          </a:extLst>
        </xdr:cNvPr>
        <xdr:cNvSpPr>
          <a:spLocks noChangeArrowheads="1"/>
        </xdr:cNvSpPr>
      </xdr:nvSpPr>
      <xdr:spPr bwMode="auto">
        <a:xfrm>
          <a:off x="0" y="6908800"/>
          <a:ext cx="0" cy="1143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41</xdr:row>
      <xdr:rowOff>76200</xdr:rowOff>
    </xdr:from>
    <xdr:to>
      <xdr:col>0</xdr:col>
      <xdr:colOff>0</xdr:colOff>
      <xdr:row>42</xdr:row>
      <xdr:rowOff>12700</xdr:rowOff>
    </xdr:to>
    <xdr:sp macro="" textlink="">
      <xdr:nvSpPr>
        <xdr:cNvPr id="49268" name="Rectangle 79">
          <a:extLst>
            <a:ext uri="{FF2B5EF4-FFF2-40B4-BE49-F238E27FC236}">
              <a16:creationId xmlns:a16="http://schemas.microsoft.com/office/drawing/2014/main" id="{62756A17-9A07-0AA6-B764-6F601B2C45DA}"/>
            </a:ext>
          </a:extLst>
        </xdr:cNvPr>
        <xdr:cNvSpPr>
          <a:spLocks noChangeArrowheads="1"/>
        </xdr:cNvSpPr>
      </xdr:nvSpPr>
      <xdr:spPr bwMode="auto">
        <a:xfrm>
          <a:off x="0" y="7366000"/>
          <a:ext cx="0" cy="127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58</xdr:row>
      <xdr:rowOff>22225</xdr:rowOff>
    </xdr:from>
    <xdr:to>
      <xdr:col>0</xdr:col>
      <xdr:colOff>0</xdr:colOff>
      <xdr:row>61</xdr:row>
      <xdr:rowOff>38140</xdr:rowOff>
    </xdr:to>
    <xdr:sp macro="" textlink="">
      <xdr:nvSpPr>
        <xdr:cNvPr id="26" name="WordArt 82">
          <a:extLst>
            <a:ext uri="{FF2B5EF4-FFF2-40B4-BE49-F238E27FC236}">
              <a16:creationId xmlns:a16="http://schemas.microsoft.com/office/drawing/2014/main" id="{ED8926EB-9741-D367-8B52-AA374B406ED2}"/>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0</xdr:col>
      <xdr:colOff>0</xdr:colOff>
      <xdr:row>58</xdr:row>
      <xdr:rowOff>79375</xdr:rowOff>
    </xdr:from>
    <xdr:to>
      <xdr:col>0</xdr:col>
      <xdr:colOff>0</xdr:colOff>
      <xdr:row>60</xdr:row>
      <xdr:rowOff>127000</xdr:rowOff>
    </xdr:to>
    <xdr:sp macro="" textlink="">
      <xdr:nvSpPr>
        <xdr:cNvPr id="27" name="WordArt 83">
          <a:extLst>
            <a:ext uri="{FF2B5EF4-FFF2-40B4-BE49-F238E27FC236}">
              <a16:creationId xmlns:a16="http://schemas.microsoft.com/office/drawing/2014/main" id="{101E75DE-1EBD-619F-EE13-1A9B27A92AA4}"/>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0</xdr:col>
      <xdr:colOff>0</xdr:colOff>
      <xdr:row>60</xdr:row>
      <xdr:rowOff>117475</xdr:rowOff>
    </xdr:from>
    <xdr:to>
      <xdr:col>0</xdr:col>
      <xdr:colOff>0</xdr:colOff>
      <xdr:row>64</xdr:row>
      <xdr:rowOff>155575</xdr:rowOff>
    </xdr:to>
    <xdr:sp macro="" textlink="">
      <xdr:nvSpPr>
        <xdr:cNvPr id="30" name="WordArt 83">
          <a:extLst>
            <a:ext uri="{FF2B5EF4-FFF2-40B4-BE49-F238E27FC236}">
              <a16:creationId xmlns:a16="http://schemas.microsoft.com/office/drawing/2014/main" id="{A939F629-9573-352F-06A2-756A20483544}"/>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20</xdr:col>
      <xdr:colOff>149225</xdr:colOff>
      <xdr:row>32</xdr:row>
      <xdr:rowOff>57150</xdr:rowOff>
    </xdr:from>
    <xdr:to>
      <xdr:col>37</xdr:col>
      <xdr:colOff>50800</xdr:colOff>
      <xdr:row>33</xdr:row>
      <xdr:rowOff>0</xdr:rowOff>
    </xdr:to>
    <xdr:sp macro="" textlink="">
      <xdr:nvSpPr>
        <xdr:cNvPr id="3223" name="WordArt 5">
          <a:extLst>
            <a:ext uri="{FF2B5EF4-FFF2-40B4-BE49-F238E27FC236}">
              <a16:creationId xmlns:a16="http://schemas.microsoft.com/office/drawing/2014/main" id="{C18FD3D9-56F1-2819-20C1-CB75A78609AA}"/>
            </a:ext>
          </a:extLst>
        </xdr:cNvPr>
        <xdr:cNvSpPr>
          <a:spLocks noChangeArrowheads="1" noChangeShapeType="1"/>
        </xdr:cNvSpPr>
      </xdr:nvSpPr>
      <xdr:spPr bwMode="auto">
        <a:xfrm>
          <a:off x="3590925" y="7629525"/>
          <a:ext cx="2809875" cy="228600"/>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免許番号 大阪府知事(1)第</a:t>
          </a:r>
          <a:r>
            <a:rPr lang="en-US" altLang="ja-JP" sz="1100" b="1" i="0" u="none" strike="noStrike" baseline="0">
              <a:solidFill>
                <a:srgbClr val="000000"/>
              </a:solidFill>
              <a:latin typeface="ＭＳ Ｐ明朝"/>
              <a:ea typeface="ＭＳ Ｐ明朝"/>
            </a:rPr>
            <a:t>60577</a:t>
          </a:r>
          <a:r>
            <a:rPr lang="ja-JP" altLang="en-US" sz="1100" b="1" i="0" u="none" strike="noStrike" baseline="0">
              <a:solidFill>
                <a:srgbClr val="000000"/>
              </a:solidFill>
              <a:latin typeface="ＭＳ Ｐ明朝"/>
              <a:ea typeface="ＭＳ Ｐ明朝"/>
            </a:rPr>
            <a:t>号</a:t>
          </a:r>
        </a:p>
      </xdr:txBody>
    </xdr:sp>
    <xdr:clientData/>
  </xdr:twoCellAnchor>
  <xdr:twoCellAnchor>
    <xdr:from>
      <xdr:col>21</xdr:col>
      <xdr:colOff>69850</xdr:colOff>
      <xdr:row>32</xdr:row>
      <xdr:rowOff>219075</xdr:rowOff>
    </xdr:from>
    <xdr:to>
      <xdr:col>39</xdr:col>
      <xdr:colOff>69850</xdr:colOff>
      <xdr:row>33</xdr:row>
      <xdr:rowOff>114300</xdr:rowOff>
    </xdr:to>
    <xdr:sp macro="" textlink="">
      <xdr:nvSpPr>
        <xdr:cNvPr id="3224" name="WordArt 6">
          <a:extLst>
            <a:ext uri="{FF2B5EF4-FFF2-40B4-BE49-F238E27FC236}">
              <a16:creationId xmlns:a16="http://schemas.microsoft.com/office/drawing/2014/main" id="{6D46F62E-4E8B-9343-D276-31321F015148}"/>
            </a:ext>
          </a:extLst>
        </xdr:cNvPr>
        <xdr:cNvSpPr>
          <a:spLocks noChangeArrowheads="1" noChangeShapeType="1"/>
        </xdr:cNvSpPr>
      </xdr:nvSpPr>
      <xdr:spPr bwMode="auto">
        <a:xfrm>
          <a:off x="3676650" y="7791450"/>
          <a:ext cx="3086100" cy="180975"/>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大阪市中央区西心斎橋2丁目9番38号-1階</a:t>
          </a:r>
        </a:p>
      </xdr:txBody>
    </xdr:sp>
    <xdr:clientData/>
  </xdr:twoCellAnchor>
  <xdr:twoCellAnchor>
    <xdr:from>
      <xdr:col>20</xdr:col>
      <xdr:colOff>19050</xdr:colOff>
      <xdr:row>33</xdr:row>
      <xdr:rowOff>85725</xdr:rowOff>
    </xdr:from>
    <xdr:to>
      <xdr:col>41</xdr:col>
      <xdr:colOff>19050</xdr:colOff>
      <xdr:row>34</xdr:row>
      <xdr:rowOff>85725</xdr:rowOff>
    </xdr:to>
    <xdr:sp macro="" textlink="">
      <xdr:nvSpPr>
        <xdr:cNvPr id="3225" name="WordArt 7">
          <a:extLst>
            <a:ext uri="{FF2B5EF4-FFF2-40B4-BE49-F238E27FC236}">
              <a16:creationId xmlns:a16="http://schemas.microsoft.com/office/drawing/2014/main" id="{E902EBBF-CD52-D3ED-7119-6692A5E29ADD}"/>
            </a:ext>
          </a:extLst>
        </xdr:cNvPr>
        <xdr:cNvSpPr>
          <a:spLocks noChangeArrowheads="1" noChangeShapeType="1"/>
        </xdr:cNvSpPr>
      </xdr:nvSpPr>
      <xdr:spPr bwMode="auto">
        <a:xfrm>
          <a:off x="3448050" y="7943850"/>
          <a:ext cx="3600450" cy="285750"/>
        </a:xfrm>
        <a:prstGeom prst="rect">
          <a:avLst/>
        </a:prstGeom>
        <a:noFill/>
        <a:ln>
          <a:noFill/>
        </a:ln>
      </xdr:spPr>
      <xdr:txBody>
        <a:bodyPr vertOverflow="clip" wrap="square" lIns="36576" tIns="18288" rIns="36576" bIns="0" anchor="t"/>
        <a:lstStyle/>
        <a:p>
          <a:pPr algn="ctr" rtl="0">
            <a:defRPr sz="1000"/>
          </a:pPr>
          <a:r>
            <a:rPr lang="ja-JP" altLang="en-US" sz="1100" b="1" i="0" u="none" strike="noStrike" baseline="0">
              <a:solidFill>
                <a:srgbClr val="000000"/>
              </a:solidFill>
              <a:latin typeface="ＭＳ Ｐ明朝"/>
              <a:ea typeface="ＭＳ Ｐ明朝"/>
            </a:rPr>
            <a:t>株式会社ユニティエール　大阪心斎橋店</a:t>
          </a:r>
        </a:p>
      </xdr:txBody>
    </xdr:sp>
    <xdr:clientData/>
  </xdr:twoCellAnchor>
  <xdr:twoCellAnchor>
    <xdr:from>
      <xdr:col>23</xdr:col>
      <xdr:colOff>38100</xdr:colOff>
      <xdr:row>34</xdr:row>
      <xdr:rowOff>3175</xdr:rowOff>
    </xdr:from>
    <xdr:to>
      <xdr:col>35</xdr:col>
      <xdr:colOff>139700</xdr:colOff>
      <xdr:row>34</xdr:row>
      <xdr:rowOff>104775</xdr:rowOff>
    </xdr:to>
    <xdr:sp macro="" textlink="">
      <xdr:nvSpPr>
        <xdr:cNvPr id="3080" name="WordArt 8">
          <a:extLst>
            <a:ext uri="{FF2B5EF4-FFF2-40B4-BE49-F238E27FC236}">
              <a16:creationId xmlns:a16="http://schemas.microsoft.com/office/drawing/2014/main" id="{8AD28B84-B252-D0CF-BBF2-2C1CB770A9EE}"/>
            </a:ext>
          </a:extLst>
        </xdr:cNvPr>
        <xdr:cNvSpPr>
          <a:spLocks noChangeArrowheads="1" noChangeShapeType="1" noTextEdit="1"/>
        </xdr:cNvSpPr>
      </xdr:nvSpPr>
      <xdr:spPr bwMode="auto">
        <a:xfrm>
          <a:off x="3981450" y="8153400"/>
          <a:ext cx="2171700" cy="95250"/>
        </a:xfrm>
        <a:prstGeom prst="rect">
          <a:avLst/>
        </a:prstGeom>
      </xdr:spPr>
      <xdr:txBody>
        <a:bodyPr wrap="none" fromWordArt="1">
          <a:prstTxWarp prst="textPlain">
            <a:avLst>
              <a:gd name="adj" fmla="val 50000"/>
            </a:avLst>
          </a:prstTxWarp>
        </a:bodyPr>
        <a:lstStyle/>
        <a:p>
          <a:pPr algn="ctr" rtl="0"/>
          <a:r>
            <a:rPr lang="en-US" altLang="ja-JP" sz="1800" kern="10" spc="0">
              <a:ln w="9525">
                <a:solidFill>
                  <a:srgbClr val="000000"/>
                </a:solidFill>
                <a:round/>
                <a:headEnd/>
                <a:tailEnd/>
              </a:ln>
              <a:solidFill>
                <a:srgbClr val="000000"/>
              </a:solidFill>
              <a:effectLst/>
              <a:latin typeface="ＭＳ Ｐ明朝"/>
              <a:ea typeface="ＭＳ Ｐ明朝"/>
            </a:rPr>
            <a:t>TEL06-6484-0300 FAX06-6484-0400</a:t>
          </a:r>
          <a:endParaRPr lang="ja-JP" altLang="en-US" sz="1800" kern="10" spc="0">
            <a:ln w="9525">
              <a:solidFill>
                <a:srgbClr val="000000"/>
              </a:solidFill>
              <a:round/>
              <a:headEnd/>
              <a:tailEnd/>
            </a:ln>
            <a:solidFill>
              <a:srgbClr val="000000"/>
            </a:solidFill>
            <a:effectLst/>
            <a:latin typeface="ＭＳ Ｐ明朝"/>
            <a:ea typeface="ＭＳ Ｐ明朝"/>
          </a:endParaRPr>
        </a:p>
      </xdr:txBody>
    </xdr:sp>
    <xdr:clientData/>
  </xdr:twoCellAnchor>
  <xdr:twoCellAnchor>
    <xdr:from>
      <xdr:col>24</xdr:col>
      <xdr:colOff>19050</xdr:colOff>
      <xdr:row>36</xdr:row>
      <xdr:rowOff>76200</xdr:rowOff>
    </xdr:from>
    <xdr:to>
      <xdr:col>25</xdr:col>
      <xdr:colOff>139700</xdr:colOff>
      <xdr:row>37</xdr:row>
      <xdr:rowOff>98469</xdr:rowOff>
    </xdr:to>
    <xdr:sp macro="" textlink="">
      <xdr:nvSpPr>
        <xdr:cNvPr id="3081" name="WordArt 9">
          <a:extLst>
            <a:ext uri="{FF2B5EF4-FFF2-40B4-BE49-F238E27FC236}">
              <a16:creationId xmlns:a16="http://schemas.microsoft.com/office/drawing/2014/main" id="{F5D4C3F4-B528-7AE7-9A33-AEA47EA0618D}"/>
            </a:ext>
          </a:extLst>
        </xdr:cNvPr>
        <xdr:cNvSpPr>
          <a:spLocks noChangeArrowheads="1" noChangeShapeType="1" noTextEdit="1"/>
        </xdr:cNvSpPr>
      </xdr:nvSpPr>
      <xdr:spPr bwMode="auto">
        <a:xfrm rot="5400000">
          <a:off x="4057650" y="8763000"/>
          <a:ext cx="457200" cy="304800"/>
        </a:xfrm>
        <a:prstGeom prst="rect">
          <a:avLst/>
        </a:prstGeom>
      </xdr:spPr>
      <xdr:txBody>
        <a:bodyPr vert="eaVert" wrap="none" fromWordArt="1">
          <a:prstTxWarp prst="textPlain">
            <a:avLst>
              <a:gd name="adj" fmla="val 50000"/>
            </a:avLst>
          </a:prstTxWarp>
        </a:bodyPr>
        <a:lstStyle/>
        <a:p>
          <a:pPr algn="ctr" rtl="0" fontAlgn="auto"/>
          <a:r>
            <a:rPr lang="ja-JP" altLang="en-US" sz="1800" kern="10" spc="0">
              <a:ln w="9525">
                <a:solidFill>
                  <a:srgbClr val="000000"/>
                </a:solidFill>
                <a:round/>
                <a:headEnd/>
                <a:tailEnd/>
              </a:ln>
              <a:solidFill>
                <a:srgbClr val="000000"/>
              </a:solidFill>
              <a:effectLst/>
              <a:latin typeface="ＭＳ Ｐ明朝"/>
              <a:ea typeface="ＭＳ Ｐ明朝"/>
            </a:rPr>
            <a:t>担当</a:t>
          </a:r>
        </a:p>
      </xdr:txBody>
    </xdr:sp>
    <xdr:clientData/>
  </xdr:twoCellAnchor>
  <xdr:twoCellAnchor>
    <xdr:from>
      <xdr:col>32</xdr:col>
      <xdr:colOff>22225</xdr:colOff>
      <xdr:row>36</xdr:row>
      <xdr:rowOff>38100</xdr:rowOff>
    </xdr:from>
    <xdr:to>
      <xdr:col>33</xdr:col>
      <xdr:colOff>120573</xdr:colOff>
      <xdr:row>37</xdr:row>
      <xdr:rowOff>95250</xdr:rowOff>
    </xdr:to>
    <xdr:sp macro="" textlink="">
      <xdr:nvSpPr>
        <xdr:cNvPr id="3082" name="WordArt 10">
          <a:extLst>
            <a:ext uri="{FF2B5EF4-FFF2-40B4-BE49-F238E27FC236}">
              <a16:creationId xmlns:a16="http://schemas.microsoft.com/office/drawing/2014/main" id="{A97102A1-84C9-4836-9D0D-33839FB6E5EE}"/>
            </a:ext>
          </a:extLst>
        </xdr:cNvPr>
        <xdr:cNvSpPr>
          <a:spLocks noChangeArrowheads="1" noChangeShapeType="1" noTextEdit="1"/>
        </xdr:cNvSpPr>
      </xdr:nvSpPr>
      <xdr:spPr bwMode="auto">
        <a:xfrm rot="5400000">
          <a:off x="5410200" y="8753475"/>
          <a:ext cx="485775" cy="276225"/>
        </a:xfrm>
        <a:prstGeom prst="rect">
          <a:avLst/>
        </a:prstGeom>
      </xdr:spPr>
      <xdr:txBody>
        <a:bodyPr vert="eaVert" wrap="none" fromWordArt="1">
          <a:prstTxWarp prst="textPlain">
            <a:avLst>
              <a:gd name="adj" fmla="val 50000"/>
            </a:avLst>
          </a:prstTxWarp>
        </a:bodyPr>
        <a:lstStyle/>
        <a:p>
          <a:pPr algn="ctr" rtl="0" fontAlgn="auto"/>
          <a:r>
            <a:rPr lang="ja-JP" altLang="en-US" sz="1800" kern="10" spc="0">
              <a:ln w="9525">
                <a:solidFill>
                  <a:srgbClr val="000000"/>
                </a:solidFill>
                <a:round/>
                <a:headEnd/>
                <a:tailEnd/>
              </a:ln>
              <a:solidFill>
                <a:srgbClr val="000000"/>
              </a:solidFill>
              <a:effectLst/>
              <a:latin typeface="ＭＳ Ｐ明朝"/>
              <a:ea typeface="ＭＳ Ｐ明朝"/>
            </a:rPr>
            <a:t>責任者</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56</xdr:row>
      <xdr:rowOff>60325</xdr:rowOff>
    </xdr:from>
    <xdr:to>
      <xdr:col>1</xdr:col>
      <xdr:colOff>0</xdr:colOff>
      <xdr:row>57</xdr:row>
      <xdr:rowOff>117475</xdr:rowOff>
    </xdr:to>
    <xdr:sp macro="" textlink="">
      <xdr:nvSpPr>
        <xdr:cNvPr id="12" name="WordArt 28">
          <a:extLst>
            <a:ext uri="{FF2B5EF4-FFF2-40B4-BE49-F238E27FC236}">
              <a16:creationId xmlns:a16="http://schemas.microsoft.com/office/drawing/2014/main" id="{9E7265C2-68A0-9944-67C3-2FB1D5EA4A2E}"/>
            </a:ext>
          </a:extLst>
        </xdr:cNvPr>
        <xdr:cNvSpPr>
          <a:spLocks noChangeArrowheads="1" noChangeShapeType="1" noTextEdit="1"/>
        </xdr:cNvSpPr>
      </xdr:nvSpPr>
      <xdr:spPr bwMode="auto">
        <a:xfrm>
          <a:off x="590550" y="9934575"/>
          <a:ext cx="6181725" cy="209550"/>
        </a:xfrm>
        <a:prstGeom prst="rect">
          <a:avLst/>
        </a:prstGeom>
      </xdr:spPr>
      <xdr:txBody>
        <a:bodyPr wrap="none" fromWordArt="1">
          <a:prstTxWarp prst="textPlain">
            <a:avLst>
              <a:gd name="adj" fmla="val 50000"/>
            </a:avLst>
          </a:prstTxWarp>
        </a:bodyPr>
        <a:lstStyle/>
        <a:p>
          <a:pPr algn="ctr" rtl="0"/>
          <a:r>
            <a:rPr lang="ja-JP" altLang="en-US" sz="1800" kern="10" spc="0">
              <a:ln w="9525">
                <a:solidFill>
                  <a:srgbClr val="FFFFFF"/>
                </a:solidFill>
                <a:round/>
                <a:headEnd/>
                <a:tailEnd/>
              </a:ln>
              <a:solidFill>
                <a:srgbClr val="FFFFFF"/>
              </a:solidFill>
              <a:effectLst/>
              <a:latin typeface="ＭＳ Ｐ明朝"/>
              <a:ea typeface="ＭＳ Ｐ明朝"/>
            </a:rPr>
            <a:t>その他不明点等お気軽に当店担当者までご連絡ください。</a:t>
          </a:r>
        </a:p>
      </xdr:txBody>
    </xdr:sp>
    <xdr:clientData/>
  </xdr:twoCellAnchor>
  <xdr:twoCellAnchor>
    <xdr:from>
      <xdr:col>1</xdr:col>
      <xdr:colOff>0</xdr:colOff>
      <xdr:row>58</xdr:row>
      <xdr:rowOff>22225</xdr:rowOff>
    </xdr:from>
    <xdr:to>
      <xdr:col>1</xdr:col>
      <xdr:colOff>0</xdr:colOff>
      <xdr:row>61</xdr:row>
      <xdr:rowOff>38140</xdr:rowOff>
    </xdr:to>
    <xdr:sp macro="" textlink="">
      <xdr:nvSpPr>
        <xdr:cNvPr id="26" name="WordArt 82">
          <a:extLst>
            <a:ext uri="{FF2B5EF4-FFF2-40B4-BE49-F238E27FC236}">
              <a16:creationId xmlns:a16="http://schemas.microsoft.com/office/drawing/2014/main" id="{104793D4-7CDC-3DD0-F389-6BB18BEDB901}"/>
            </a:ext>
          </a:extLst>
        </xdr:cNvPr>
        <xdr:cNvSpPr>
          <a:spLocks noChangeArrowheads="1" noChangeShapeType="1" noTextEdit="1"/>
        </xdr:cNvSpPr>
      </xdr:nvSpPr>
      <xdr:spPr bwMode="auto">
        <a:xfrm>
          <a:off x="38100" y="10201275"/>
          <a:ext cx="2047875" cy="523875"/>
        </a:xfrm>
        <a:prstGeom prst="rect">
          <a:avLst/>
        </a:prstGeom>
      </xdr:spPr>
      <xdr:txBody>
        <a:bodyPr wrap="none" fromWordArt="1">
          <a:prstTxWarp prst="textCascadeUp">
            <a:avLst>
              <a:gd name="adj" fmla="val 44444"/>
            </a:avLst>
          </a:prstTxWarp>
        </a:bodyPr>
        <a:lstStyle/>
        <a:p>
          <a:pPr algn="ctr" rtl="0"/>
          <a:r>
            <a:rPr lang="ja-JP" altLang="en-US" sz="3600" kern="10" spc="0">
              <a:ln w="9525">
                <a:solidFill>
                  <a:srgbClr val="FF0000"/>
                </a:solidFill>
                <a:round/>
                <a:headEnd/>
                <a:tailEnd/>
              </a:ln>
              <a:solidFill>
                <a:srgbClr val="000000"/>
              </a:solidFill>
              <a:effectLst/>
              <a:latin typeface="HG創英角ﾎﾟｯﾌﾟ体"/>
              <a:ea typeface="HG創英角ﾎﾟｯﾌﾟ体"/>
            </a:rPr>
            <a:t>ご紹介キャンペーン実施中！</a:t>
          </a:r>
        </a:p>
      </xdr:txBody>
    </xdr:sp>
    <xdr:clientData/>
  </xdr:twoCellAnchor>
  <xdr:twoCellAnchor>
    <xdr:from>
      <xdr:col>1</xdr:col>
      <xdr:colOff>0</xdr:colOff>
      <xdr:row>58</xdr:row>
      <xdr:rowOff>79375</xdr:rowOff>
    </xdr:from>
    <xdr:to>
      <xdr:col>1</xdr:col>
      <xdr:colOff>0</xdr:colOff>
      <xdr:row>60</xdr:row>
      <xdr:rowOff>127000</xdr:rowOff>
    </xdr:to>
    <xdr:sp macro="" textlink="">
      <xdr:nvSpPr>
        <xdr:cNvPr id="27" name="WordArt 83">
          <a:extLst>
            <a:ext uri="{FF2B5EF4-FFF2-40B4-BE49-F238E27FC236}">
              <a16:creationId xmlns:a16="http://schemas.microsoft.com/office/drawing/2014/main" id="{DC135BD3-56A2-F069-7136-5D62FC4BF7A8}"/>
            </a:ext>
          </a:extLst>
        </xdr:cNvPr>
        <xdr:cNvSpPr>
          <a:spLocks noChangeArrowheads="1" noChangeShapeType="1" noTextEdit="1"/>
        </xdr:cNvSpPr>
      </xdr:nvSpPr>
      <xdr:spPr bwMode="auto">
        <a:xfrm>
          <a:off x="1990725" y="10258425"/>
          <a:ext cx="2047875" cy="390525"/>
        </a:xfrm>
        <a:prstGeom prst="rect">
          <a:avLst/>
        </a:prstGeom>
      </xdr:spPr>
      <xdr:txBody>
        <a:bodyPr wrap="none" fromWordArt="1">
          <a:prstTxWarp prst="textPlain">
            <a:avLst>
              <a:gd name="adj" fmla="val 50000"/>
            </a:avLst>
          </a:prstTxWarp>
        </a:bodyPr>
        <a:lstStyle/>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お知り合いの方を</a:t>
          </a:r>
        </a:p>
        <a:p>
          <a:pPr algn="ctr" rtl="0"/>
          <a:r>
            <a:rPr lang="ja-JP" altLang="en-US" sz="3600" i="1" kern="10" spc="0">
              <a:ln w="9525">
                <a:solidFill>
                  <a:srgbClr val="000000"/>
                </a:solidFill>
                <a:round/>
                <a:headEnd/>
                <a:tailEnd/>
              </a:ln>
              <a:solidFill>
                <a:srgbClr val="000000"/>
              </a:solidFill>
              <a:effectLst/>
              <a:latin typeface="ＭＳ Ｐゴシック"/>
              <a:ea typeface="ＭＳ Ｐゴシック"/>
            </a:rPr>
            <a:t>　　ご紹介ください！！</a:t>
          </a:r>
        </a:p>
      </xdr:txBody>
    </xdr:sp>
    <xdr:clientData/>
  </xdr:twoCellAnchor>
  <xdr:twoCellAnchor>
    <xdr:from>
      <xdr:col>1</xdr:col>
      <xdr:colOff>0</xdr:colOff>
      <xdr:row>60</xdr:row>
      <xdr:rowOff>117475</xdr:rowOff>
    </xdr:from>
    <xdr:to>
      <xdr:col>1</xdr:col>
      <xdr:colOff>0</xdr:colOff>
      <xdr:row>64</xdr:row>
      <xdr:rowOff>155575</xdr:rowOff>
    </xdr:to>
    <xdr:sp macro="" textlink="">
      <xdr:nvSpPr>
        <xdr:cNvPr id="30" name="WordArt 83">
          <a:extLst>
            <a:ext uri="{FF2B5EF4-FFF2-40B4-BE49-F238E27FC236}">
              <a16:creationId xmlns:a16="http://schemas.microsoft.com/office/drawing/2014/main" id="{5C5B6462-2D43-2806-6F7D-04DEA5476951}"/>
            </a:ext>
          </a:extLst>
        </xdr:cNvPr>
        <xdr:cNvSpPr>
          <a:spLocks noChangeArrowheads="1" noChangeShapeType="1" noTextEdit="1"/>
        </xdr:cNvSpPr>
      </xdr:nvSpPr>
      <xdr:spPr bwMode="auto">
        <a:xfrm>
          <a:off x="4410075" y="10639425"/>
          <a:ext cx="3038475" cy="723900"/>
        </a:xfrm>
        <a:prstGeom prst="rect">
          <a:avLst/>
        </a:prstGeom>
      </xdr:spPr>
      <xdr:txBody>
        <a:bodyPr wrap="none" fromWordArt="1">
          <a:prstTxWarp prst="textPlain">
            <a:avLst>
              <a:gd name="adj" fmla="val 50000"/>
            </a:avLst>
          </a:prstTxWarp>
        </a:bodyPr>
        <a:lstStyle/>
        <a:p>
          <a:pPr algn="ctr" rtl="0">
            <a:lnSpc>
              <a:spcPts val="4200"/>
            </a:lnSpc>
          </a:pPr>
          <a:r>
            <a:rPr lang="ja-JP" altLang="en-US" sz="3600" i="1" kern="10" spc="0">
              <a:ln w="9525">
                <a:solidFill>
                  <a:srgbClr val="000000"/>
                </a:solidFill>
                <a:round/>
                <a:headEnd/>
                <a:tailEnd/>
              </a:ln>
              <a:solidFill>
                <a:srgbClr val="000000"/>
              </a:solidFill>
              <a:effectLst/>
              <a:latin typeface="ＭＳ Ｐゴシック"/>
              <a:ea typeface="ＭＳ Ｐゴシック"/>
            </a:rPr>
            <a:t>審査終了後で有りましたら、お手続き可能です！</a:t>
          </a:r>
          <a:endParaRPr lang="en-US" altLang="ja-JP" sz="3600" i="1" kern="10" spc="0">
            <a:ln w="9525">
              <a:solidFill>
                <a:srgbClr val="000000"/>
              </a:solidFill>
              <a:round/>
              <a:headEnd/>
              <a:tailEnd/>
            </a:ln>
            <a:solidFill>
              <a:srgbClr val="000000"/>
            </a:solidFill>
            <a:effectLst/>
            <a:latin typeface="ＭＳ Ｐゴシック"/>
            <a:ea typeface="ＭＳ Ｐゴシック"/>
          </a:endParaRPr>
        </a:p>
        <a:p>
          <a:pPr algn="ctr" rtl="0">
            <a:lnSpc>
              <a:spcPts val="4100"/>
            </a:lnSpc>
          </a:pPr>
          <a:r>
            <a:rPr lang="ja-JP" altLang="en-US" sz="3600" i="1" kern="10" spc="0">
              <a:ln w="9525">
                <a:solidFill>
                  <a:srgbClr val="000000"/>
                </a:solidFill>
                <a:round/>
                <a:headEnd/>
                <a:tailEnd/>
              </a:ln>
              <a:solidFill>
                <a:srgbClr val="000000"/>
              </a:solidFill>
              <a:effectLst/>
              <a:latin typeface="ＭＳ Ｐゴシック"/>
              <a:ea typeface="ＭＳ Ｐゴシック"/>
            </a:rPr>
            <a:t>必ず入居までに手続きお願い致します。</a:t>
          </a:r>
        </a:p>
      </xdr:txBody>
    </xdr:sp>
    <xdr:clientData/>
  </xdr:twoCellAnchor>
  <xdr:twoCellAnchor>
    <xdr:from>
      <xdr:col>1</xdr:col>
      <xdr:colOff>0</xdr:colOff>
      <xdr:row>13</xdr:row>
      <xdr:rowOff>38100</xdr:rowOff>
    </xdr:from>
    <xdr:to>
      <xdr:col>1</xdr:col>
      <xdr:colOff>0</xdr:colOff>
      <xdr:row>15</xdr:row>
      <xdr:rowOff>0</xdr:rowOff>
    </xdr:to>
    <xdr:sp macro="" textlink="">
      <xdr:nvSpPr>
        <xdr:cNvPr id="2" name="WordArt 1">
          <a:extLst>
            <a:ext uri="{FF2B5EF4-FFF2-40B4-BE49-F238E27FC236}">
              <a16:creationId xmlns:a16="http://schemas.microsoft.com/office/drawing/2014/main" id="{DFA53E15-EBF9-F756-350B-E7E024E0C543}"/>
            </a:ext>
          </a:extLst>
        </xdr:cNvPr>
        <xdr:cNvSpPr>
          <a:spLocks noChangeArrowheads="1" noChangeShapeType="1" noTextEdit="1"/>
        </xdr:cNvSpPr>
      </xdr:nvSpPr>
      <xdr:spPr bwMode="auto">
        <a:xfrm>
          <a:off x="3619500" y="3457575"/>
          <a:ext cx="1562100" cy="390525"/>
        </a:xfrm>
        <a:prstGeom prst="rect">
          <a:avLst/>
        </a:prstGeom>
      </xdr:spPr>
      <xdr:txBody>
        <a:bodyPr wrap="none" fromWordArt="1">
          <a:prstTxWarp prst="textPlain">
            <a:avLst>
              <a:gd name="adj" fmla="val 50000"/>
            </a:avLst>
          </a:prstTxWarp>
        </a:bodyPr>
        <a:lstStyle/>
        <a:p>
          <a:pPr algn="ctr" rtl="0">
            <a:buNone/>
          </a:pPr>
          <a:r>
            <a:rPr lang="ja-JP" altLang="en-US" sz="18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rPr>
            <a:t>賃貸くん</a:t>
          </a:r>
        </a:p>
      </xdr:txBody>
    </xdr:sp>
    <xdr:clientData/>
  </xdr:twoCellAnchor>
  <xdr:twoCellAnchor>
    <xdr:from>
      <xdr:col>1</xdr:col>
      <xdr:colOff>0</xdr:colOff>
      <xdr:row>14</xdr:row>
      <xdr:rowOff>3175</xdr:rowOff>
    </xdr:from>
    <xdr:to>
      <xdr:col>1</xdr:col>
      <xdr:colOff>0</xdr:colOff>
      <xdr:row>15</xdr:row>
      <xdr:rowOff>132</xdr:rowOff>
    </xdr:to>
    <xdr:sp macro="" textlink="">
      <xdr:nvSpPr>
        <xdr:cNvPr id="4" name="WordArt 2">
          <a:extLst>
            <a:ext uri="{FF2B5EF4-FFF2-40B4-BE49-F238E27FC236}">
              <a16:creationId xmlns:a16="http://schemas.microsoft.com/office/drawing/2014/main" id="{1D2654C2-2978-D65E-C8B0-6DFAE82E0E1D}"/>
            </a:ext>
          </a:extLst>
        </xdr:cNvPr>
        <xdr:cNvSpPr>
          <a:spLocks noChangeArrowheads="1" noChangeShapeType="1" noTextEdit="1"/>
        </xdr:cNvSpPr>
      </xdr:nvSpPr>
      <xdr:spPr bwMode="auto">
        <a:xfrm>
          <a:off x="5229225" y="3657600"/>
          <a:ext cx="1028700" cy="171450"/>
        </a:xfrm>
        <a:prstGeom prst="rect">
          <a:avLst/>
        </a:prstGeom>
      </xdr:spPr>
      <xdr:txBody>
        <a:bodyPr wrap="none" fromWordArt="1">
          <a:prstTxWarp prst="textPlain">
            <a:avLst>
              <a:gd name="adj" fmla="val 50000"/>
            </a:avLst>
          </a:prstTxWarp>
        </a:bodyPr>
        <a:lstStyle/>
        <a:p>
          <a:pPr algn="ctr" rtl="0">
            <a:buNone/>
          </a:pPr>
          <a:r>
            <a:rPr lang="ja-JP" altLang="en-US" sz="900" kern="10" spc="0">
              <a:ln>
                <a:noFill/>
              </a:ln>
              <a:solidFill>
                <a:srgbClr xmlns:mc="http://schemas.openxmlformats.org/markup-compatibility/2006" xmlns:a14="http://schemas.microsoft.com/office/drawing/2010/main" val="000000" mc:Ignorable="a14" a14:legacySpreadsheetColorIndex="8"/>
              </a:solidFill>
              <a:effectLst/>
              <a:latin typeface="HG創英角ﾎﾟｯﾌﾟ体" panose="040B0A09000000000000" pitchFamily="49" charset="-128"/>
              <a:ea typeface="HG創英角ﾎﾟｯﾌﾟ体" panose="040B0A09000000000000" pitchFamily="49" charset="-128"/>
            </a:rPr>
            <a:t>大阪心斎橋店</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D771-EA81-4111-9EDA-34E48EC957F0}">
  <sheetPr codeName="Sheet2">
    <pageSetUpPr fitToPage="1"/>
  </sheetPr>
  <dimension ref="A1:K29"/>
  <sheetViews>
    <sheetView zoomScaleNormal="100" zoomScaleSheetLayoutView="100" workbookViewId="0">
      <selection activeCell="H3" sqref="H3:I3"/>
    </sheetView>
  </sheetViews>
  <sheetFormatPr defaultRowHeight="13" x14ac:dyDescent="0.2"/>
  <cols>
    <col min="1" max="1" width="13.6328125" customWidth="1"/>
    <col min="2" max="2" width="10.453125" customWidth="1"/>
    <col min="4" max="4" width="10.26953125" customWidth="1"/>
    <col min="5" max="5" width="7.26953125" customWidth="1"/>
    <col min="6" max="6" width="2.90625" customWidth="1"/>
    <col min="7" max="8" width="10.6328125" customWidth="1"/>
    <col min="10" max="10" width="9" style="105" customWidth="1"/>
    <col min="11" max="11" width="10.453125" style="105" customWidth="1"/>
  </cols>
  <sheetData>
    <row r="1" spans="1:11" ht="13.5" thickBot="1" x14ac:dyDescent="0.25">
      <c r="A1" s="5"/>
      <c r="B1" s="5"/>
      <c r="C1" s="5"/>
      <c r="D1" s="5"/>
      <c r="E1" s="5"/>
      <c r="F1" s="5"/>
      <c r="G1" s="5"/>
      <c r="H1" s="5"/>
      <c r="I1" s="5"/>
      <c r="J1" s="104"/>
    </row>
    <row r="2" spans="1:11" ht="13.5" thickTop="1" x14ac:dyDescent="0.2">
      <c r="A2" s="94" t="s">
        <v>42</v>
      </c>
      <c r="B2" s="278" t="s">
        <v>466</v>
      </c>
      <c r="C2" s="279"/>
      <c r="G2" s="54" t="s">
        <v>47</v>
      </c>
      <c r="H2" s="271" t="s">
        <v>487</v>
      </c>
      <c r="I2" s="272"/>
      <c r="J2" s="104"/>
    </row>
    <row r="3" spans="1:11" ht="13.5" thickBot="1" x14ac:dyDescent="0.25">
      <c r="A3" s="95" t="s">
        <v>22</v>
      </c>
      <c r="B3" s="280"/>
      <c r="C3" s="281"/>
      <c r="E3" s="90" t="s">
        <v>56</v>
      </c>
      <c r="G3" s="56" t="s">
        <v>23</v>
      </c>
      <c r="H3" s="273"/>
      <c r="I3" s="274"/>
      <c r="J3" s="104"/>
    </row>
    <row r="4" spans="1:11" ht="14" thickTop="1" thickBot="1" x14ac:dyDescent="0.25">
      <c r="A4" s="96" t="s">
        <v>39</v>
      </c>
      <c r="B4" s="280"/>
      <c r="C4" s="281"/>
      <c r="D4" s="55" t="s">
        <v>65</v>
      </c>
      <c r="E4" s="221">
        <v>31</v>
      </c>
      <c r="G4" s="46" t="s">
        <v>11</v>
      </c>
      <c r="H4" s="35"/>
      <c r="I4" s="93" t="s">
        <v>41</v>
      </c>
      <c r="J4" s="104"/>
    </row>
    <row r="5" spans="1:11" ht="14" thickTop="1" thickBot="1" x14ac:dyDescent="0.25">
      <c r="A5" s="38" t="s">
        <v>30</v>
      </c>
      <c r="B5" s="97" t="s">
        <v>31</v>
      </c>
      <c r="D5" s="132" t="s">
        <v>66</v>
      </c>
      <c r="E5" s="222">
        <v>31</v>
      </c>
      <c r="G5" s="47" t="s">
        <v>12</v>
      </c>
      <c r="H5" s="223">
        <v>0</v>
      </c>
      <c r="I5" s="224">
        <v>202</v>
      </c>
      <c r="J5" s="104"/>
    </row>
    <row r="6" spans="1:11" ht="13.5" thickTop="1" x14ac:dyDescent="0.2">
      <c r="A6" s="49" t="s">
        <v>2</v>
      </c>
      <c r="B6" s="71">
        <f>H4</f>
        <v>0</v>
      </c>
      <c r="G6" s="47" t="s">
        <v>110</v>
      </c>
      <c r="H6" s="223">
        <v>0</v>
      </c>
      <c r="I6" s="77"/>
      <c r="J6" s="104"/>
    </row>
    <row r="7" spans="1:11" ht="13.5" thickBot="1" x14ac:dyDescent="0.25">
      <c r="A7" s="50" t="s">
        <v>3</v>
      </c>
      <c r="B7" s="72">
        <f>H5</f>
        <v>0</v>
      </c>
      <c r="G7" s="47" t="s">
        <v>13</v>
      </c>
      <c r="H7" s="223">
        <v>62000</v>
      </c>
      <c r="I7" s="77"/>
      <c r="J7" s="104"/>
    </row>
    <row r="8" spans="1:11" ht="14" thickTop="1" thickBot="1" x14ac:dyDescent="0.25">
      <c r="A8" s="39" t="s">
        <v>30</v>
      </c>
      <c r="B8" s="40" t="s">
        <v>31</v>
      </c>
      <c r="C8" s="41" t="s">
        <v>36</v>
      </c>
      <c r="D8" s="41" t="s">
        <v>444</v>
      </c>
      <c r="E8" s="42" t="s">
        <v>37</v>
      </c>
      <c r="G8" s="47" t="s">
        <v>14</v>
      </c>
      <c r="H8" s="223">
        <v>4000</v>
      </c>
      <c r="I8" s="77"/>
      <c r="J8" s="104"/>
    </row>
    <row r="9" spans="1:11" ht="13.5" thickTop="1" x14ac:dyDescent="0.2">
      <c r="A9" s="51" t="s">
        <v>32</v>
      </c>
      <c r="B9" s="99">
        <f>ROUNDUP(H16,0)</f>
        <v>62000</v>
      </c>
      <c r="C9" s="218">
        <v>12</v>
      </c>
      <c r="D9" s="77">
        <v>1</v>
      </c>
      <c r="E9" s="78">
        <f>E4-D9+1</f>
        <v>31</v>
      </c>
      <c r="G9" s="47" t="s">
        <v>15</v>
      </c>
      <c r="H9" s="223"/>
      <c r="I9" s="77"/>
      <c r="J9" s="104"/>
    </row>
    <row r="10" spans="1:11" x14ac:dyDescent="0.2">
      <c r="A10" s="47" t="s">
        <v>33</v>
      </c>
      <c r="B10" s="87">
        <f>ROUNDDOWN(H17,0)</f>
        <v>4000</v>
      </c>
      <c r="C10" s="59" t="s">
        <v>48</v>
      </c>
      <c r="D10" s="61"/>
      <c r="E10" s="60" t="s">
        <v>50</v>
      </c>
      <c r="G10" s="88"/>
      <c r="H10" s="225"/>
      <c r="I10" s="77"/>
      <c r="J10" s="104"/>
    </row>
    <row r="11" spans="1:11" ht="13.5" thickBot="1" x14ac:dyDescent="0.25">
      <c r="A11" s="47" t="s">
        <v>34</v>
      </c>
      <c r="B11" s="87">
        <f>ROUNDDOWN(H18,0)</f>
        <v>0</v>
      </c>
      <c r="C11" s="59" t="s">
        <v>50</v>
      </c>
      <c r="D11" s="61" t="s">
        <v>50</v>
      </c>
      <c r="E11" s="60" t="s">
        <v>48</v>
      </c>
      <c r="G11" s="88" t="s">
        <v>61</v>
      </c>
      <c r="H11" s="36"/>
      <c r="J11" s="104"/>
    </row>
    <row r="12" spans="1:11" ht="13.5" thickTop="1" x14ac:dyDescent="0.2">
      <c r="A12" s="47" t="s">
        <v>35</v>
      </c>
      <c r="B12" s="87">
        <f>ROUNDDOWN(H20,0)</f>
        <v>0</v>
      </c>
      <c r="C12" s="219"/>
      <c r="D12" s="219"/>
      <c r="E12" s="78">
        <f>E5-D12</f>
        <v>31</v>
      </c>
      <c r="G12" s="88" t="s">
        <v>62</v>
      </c>
      <c r="H12" s="36"/>
      <c r="J12" s="104" t="s">
        <v>56</v>
      </c>
      <c r="K12" s="105" t="s">
        <v>56</v>
      </c>
    </row>
    <row r="13" spans="1:11" ht="13.5" thickBot="1" x14ac:dyDescent="0.25">
      <c r="A13" s="47" t="s">
        <v>38</v>
      </c>
      <c r="B13" s="220"/>
      <c r="C13" s="59" t="s">
        <v>56</v>
      </c>
      <c r="D13" s="61" t="s">
        <v>56</v>
      </c>
      <c r="E13" s="60" t="s">
        <v>56</v>
      </c>
      <c r="G13" s="89" t="s">
        <v>63</v>
      </c>
      <c r="H13" s="37"/>
      <c r="J13" s="104" t="s">
        <v>56</v>
      </c>
      <c r="K13" s="105" t="s">
        <v>56</v>
      </c>
    </row>
    <row r="14" spans="1:11" ht="13.5" thickTop="1" x14ac:dyDescent="0.2">
      <c r="A14" s="47" t="s">
        <v>52</v>
      </c>
      <c r="B14" s="220">
        <v>55000</v>
      </c>
      <c r="C14" s="73"/>
      <c r="D14" s="61"/>
      <c r="E14" s="62"/>
      <c r="J14" s="104"/>
    </row>
    <row r="15" spans="1:11" ht="13.5" thickBot="1" x14ac:dyDescent="0.25">
      <c r="A15" s="47" t="s">
        <v>53</v>
      </c>
      <c r="B15" s="220">
        <v>6000</v>
      </c>
      <c r="C15" s="59" t="s">
        <v>48</v>
      </c>
      <c r="D15" s="61"/>
      <c r="E15" s="62"/>
      <c r="J15" s="104"/>
    </row>
    <row r="16" spans="1:11" ht="13.5" thickTop="1" x14ac:dyDescent="0.2">
      <c r="A16" s="47" t="s">
        <v>54</v>
      </c>
      <c r="B16" s="220"/>
      <c r="C16" s="59" t="s">
        <v>48</v>
      </c>
      <c r="D16" s="61"/>
      <c r="E16" s="62"/>
      <c r="G16" s="81" t="s">
        <v>57</v>
      </c>
      <c r="H16" s="82">
        <f>H7/E4*E9</f>
        <v>62000</v>
      </c>
      <c r="J16" s="104"/>
    </row>
    <row r="17" spans="1:10" x14ac:dyDescent="0.2">
      <c r="A17" s="47" t="s">
        <v>462</v>
      </c>
      <c r="B17" s="220"/>
      <c r="C17" s="59" t="s">
        <v>48</v>
      </c>
      <c r="D17" s="61"/>
      <c r="E17" s="62"/>
      <c r="G17" s="83" t="s">
        <v>58</v>
      </c>
      <c r="H17" s="84">
        <f>H8/E4*E9</f>
        <v>4000</v>
      </c>
      <c r="J17" s="104"/>
    </row>
    <row r="18" spans="1:10" ht="13.5" thickBot="1" x14ac:dyDescent="0.25">
      <c r="A18" s="47" t="s">
        <v>0</v>
      </c>
      <c r="B18" s="87">
        <f>H11</f>
        <v>0</v>
      </c>
      <c r="C18" s="59"/>
      <c r="D18" s="61"/>
      <c r="E18" s="62"/>
      <c r="G18" s="79" t="s">
        <v>59</v>
      </c>
      <c r="H18" s="80">
        <f>H9/E4*E9</f>
        <v>0</v>
      </c>
      <c r="J18" s="104"/>
    </row>
    <row r="19" spans="1:10" ht="14" thickTop="1" thickBot="1" x14ac:dyDescent="0.25">
      <c r="A19" s="48" t="s">
        <v>55</v>
      </c>
      <c r="B19" s="33"/>
      <c r="C19" s="59" t="s">
        <v>50</v>
      </c>
      <c r="D19" s="63"/>
      <c r="E19" s="64"/>
      <c r="G19" s="79" t="s">
        <v>116</v>
      </c>
      <c r="H19" s="80">
        <f>ROUNDUP(B13/E4*E9,0)</f>
        <v>0</v>
      </c>
      <c r="J19" s="104"/>
    </row>
    <row r="20" spans="1:10" ht="14" thickTop="1" thickBot="1" x14ac:dyDescent="0.25">
      <c r="A20" s="49"/>
      <c r="B20" s="32"/>
      <c r="G20" s="92" t="s">
        <v>64</v>
      </c>
      <c r="H20" s="84">
        <f>H13/E5*E12</f>
        <v>0</v>
      </c>
      <c r="J20" s="104"/>
    </row>
    <row r="21" spans="1:10" ht="14" thickTop="1" thickBot="1" x14ac:dyDescent="0.25">
      <c r="A21" s="52" t="s">
        <v>4</v>
      </c>
      <c r="B21" s="98">
        <f>H7/2</f>
        <v>31000</v>
      </c>
      <c r="C21" s="81" t="s">
        <v>43</v>
      </c>
      <c r="D21" s="275"/>
      <c r="E21" s="275"/>
      <c r="H21" s="57"/>
      <c r="J21" s="104"/>
    </row>
    <row r="22" spans="1:10" ht="13.5" thickBot="1" x14ac:dyDescent="0.25">
      <c r="A22" s="52" t="s">
        <v>6</v>
      </c>
      <c r="B22" s="45">
        <f>B21*0.1</f>
        <v>3100</v>
      </c>
      <c r="C22" s="83" t="s">
        <v>44</v>
      </c>
      <c r="D22" s="276">
        <v>0</v>
      </c>
      <c r="E22" s="276"/>
      <c r="G22" s="100" t="s">
        <v>67</v>
      </c>
      <c r="H22" s="101">
        <f>H16+H17+H18+H20</f>
        <v>66000</v>
      </c>
      <c r="J22" s="104"/>
    </row>
    <row r="23" spans="1:10" ht="13.5" thickBot="1" x14ac:dyDescent="0.25">
      <c r="A23" s="52" t="s">
        <v>5</v>
      </c>
      <c r="B23" s="98">
        <f>H13</f>
        <v>0</v>
      </c>
      <c r="C23" s="91" t="s">
        <v>45</v>
      </c>
      <c r="D23" s="277">
        <v>0</v>
      </c>
      <c r="E23" s="277"/>
      <c r="H23" s="57"/>
      <c r="J23" s="104"/>
    </row>
    <row r="24" spans="1:10" ht="13.5" thickTop="1" x14ac:dyDescent="0.2">
      <c r="A24" s="52" t="s">
        <v>7</v>
      </c>
      <c r="B24" s="45">
        <f>B23*0.1</f>
        <v>0</v>
      </c>
      <c r="G24" s="106" t="s">
        <v>70</v>
      </c>
      <c r="H24" s="107" t="s">
        <v>71</v>
      </c>
      <c r="J24" s="104"/>
    </row>
    <row r="25" spans="1:10" ht="13.5" thickBot="1" x14ac:dyDescent="0.25">
      <c r="A25" s="52" t="s">
        <v>1</v>
      </c>
      <c r="B25" s="226"/>
      <c r="G25" s="114">
        <f>H13</f>
        <v>0</v>
      </c>
      <c r="H25" s="108">
        <f>G25*1.05</f>
        <v>0</v>
      </c>
      <c r="J25" s="104"/>
    </row>
    <row r="26" spans="1:10" x14ac:dyDescent="0.2">
      <c r="A26" s="217" t="s">
        <v>450</v>
      </c>
      <c r="B26" s="34"/>
      <c r="J26" s="104"/>
    </row>
    <row r="27" spans="1:10" ht="13.5" thickBot="1" x14ac:dyDescent="0.25">
      <c r="A27" s="53" t="s">
        <v>8</v>
      </c>
      <c r="B27" s="227">
        <v>22000</v>
      </c>
      <c r="J27" s="104"/>
    </row>
    <row r="28" spans="1:10" ht="14" thickTop="1" thickBot="1" x14ac:dyDescent="0.25">
      <c r="A28" s="53" t="s">
        <v>107</v>
      </c>
      <c r="B28" s="227"/>
      <c r="G28" s="100" t="s">
        <v>115</v>
      </c>
      <c r="H28" s="131"/>
    </row>
    <row r="29" spans="1:10" ht="13.5" thickTop="1" x14ac:dyDescent="0.2"/>
  </sheetData>
  <mergeCells count="8">
    <mergeCell ref="H2:I2"/>
    <mergeCell ref="H3:I3"/>
    <mergeCell ref="D21:E21"/>
    <mergeCell ref="D22:E22"/>
    <mergeCell ref="D23:E23"/>
    <mergeCell ref="B2:C2"/>
    <mergeCell ref="B3:C3"/>
    <mergeCell ref="B4:C4"/>
  </mergeCells>
  <phoneticPr fontId="3"/>
  <pageMargins left="0.11811023622047244" right="0.19685039370078741" top="0.98425196850393704" bottom="0" header="0.51181102362204722" footer="0.51181102362204722"/>
  <pageSetup paperSize="9" scale="99"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C89B-5690-4977-918E-767BC88845F5}">
  <sheetPr codeName="Sheet3">
    <pageSetUpPr fitToPage="1"/>
  </sheetPr>
  <dimension ref="B1:O49"/>
  <sheetViews>
    <sheetView tabSelected="1" view="pageBreakPreview" topLeftCell="D2" zoomScale="81" zoomScaleNormal="100" zoomScaleSheetLayoutView="70" workbookViewId="0">
      <selection activeCell="E29" sqref="E29"/>
    </sheetView>
  </sheetViews>
  <sheetFormatPr defaultRowHeight="13" x14ac:dyDescent="0.2"/>
  <cols>
    <col min="1" max="1" width="3.453125" customWidth="1"/>
    <col min="2" max="3" width="3" customWidth="1"/>
    <col min="4" max="4" width="11.08984375" customWidth="1"/>
    <col min="5" max="5" width="17.6328125" customWidth="1"/>
    <col min="6" max="6" width="5.7265625" customWidth="1"/>
    <col min="7" max="7" width="2.90625" customWidth="1"/>
    <col min="8" max="8" width="1.6328125" customWidth="1"/>
    <col min="9" max="9" width="3.453125" customWidth="1"/>
    <col min="10" max="10" width="5.269531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2:15" x14ac:dyDescent="0.2">
      <c r="M1" s="233">
        <f ca="1">NOW()</f>
        <v>46176.343007291667</v>
      </c>
    </row>
    <row r="3" spans="2:15" ht="18" customHeight="1" x14ac:dyDescent="0.3">
      <c r="B3" s="300" t="str">
        <f>IF(入力画面!B3="","",入力画面!B3)</f>
        <v/>
      </c>
      <c r="C3" s="300"/>
      <c r="D3" s="300"/>
      <c r="E3" s="300"/>
      <c r="F3" s="22"/>
      <c r="K3" s="1"/>
      <c r="L3" s="1"/>
    </row>
    <row r="4" spans="2:15" ht="14.25" customHeight="1" x14ac:dyDescent="0.2">
      <c r="B4" t="s">
        <v>474</v>
      </c>
      <c r="K4" s="1"/>
    </row>
    <row r="5" spans="2:15" x14ac:dyDescent="0.2">
      <c r="B5" t="s">
        <v>451</v>
      </c>
    </row>
    <row r="6" spans="2:15" x14ac:dyDescent="0.2">
      <c r="B6" t="s">
        <v>452</v>
      </c>
    </row>
    <row r="7" spans="2:15" ht="6" customHeight="1" x14ac:dyDescent="0.2"/>
    <row r="8" spans="2:15" ht="26.25" customHeight="1" x14ac:dyDescent="0.35">
      <c r="B8" s="5"/>
      <c r="C8" s="133"/>
      <c r="D8" s="133" t="s">
        <v>49</v>
      </c>
      <c r="E8" s="267">
        <f>E37</f>
        <v>66000</v>
      </c>
      <c r="F8" s="135"/>
      <c r="G8" s="135"/>
      <c r="H8" s="25"/>
      <c r="I8" s="25"/>
      <c r="J8" s="25"/>
      <c r="L8" s="102" t="s">
        <v>47</v>
      </c>
      <c r="M8" s="301" t="str">
        <f>IF(入力画面!H2="","",入力画面!H2)</f>
        <v xml:space="preserve">	ハーモニーテラス生野西</v>
      </c>
      <c r="N8" s="301"/>
      <c r="O8" s="5"/>
    </row>
    <row r="9" spans="2:15" ht="17.25" customHeight="1" thickBot="1" x14ac:dyDescent="0.25">
      <c r="B9" s="5"/>
      <c r="C9" s="5"/>
      <c r="D9" s="5"/>
      <c r="E9" s="5"/>
      <c r="F9" s="5"/>
      <c r="L9" s="102" t="s">
        <v>68</v>
      </c>
      <c r="M9" s="236" t="str">
        <f>IF(入力画面!H3="","",入力画面!H3)</f>
        <v/>
      </c>
      <c r="N9" s="234">
        <f>IF(入力画面!I5="","",入力画面!I5)</f>
        <v>202</v>
      </c>
    </row>
    <row r="10" spans="2:15" ht="17.25" customHeight="1" x14ac:dyDescent="0.25">
      <c r="B10" s="6"/>
      <c r="C10" s="12"/>
      <c r="D10" s="7"/>
      <c r="E10" s="252" t="s">
        <v>480</v>
      </c>
      <c r="F10" s="313" t="s">
        <v>484</v>
      </c>
      <c r="G10" s="314"/>
      <c r="H10" s="314"/>
      <c r="I10" s="314"/>
      <c r="J10" s="315"/>
      <c r="L10" s="102" t="s">
        <v>69</v>
      </c>
      <c r="M10" s="237" t="str">
        <f>IF(入力画面!B4="","",入力画面!B4)</f>
        <v/>
      </c>
      <c r="N10" s="2" t="s">
        <v>40</v>
      </c>
    </row>
    <row r="11" spans="2:15" ht="17.25" customHeight="1" thickBot="1" x14ac:dyDescent="0.25">
      <c r="B11" s="8" t="s">
        <v>3</v>
      </c>
      <c r="C11" s="10"/>
      <c r="D11" s="9"/>
      <c r="E11" s="69">
        <f>IF(入力画面!H5="","",入力画面!H5)</f>
        <v>0</v>
      </c>
      <c r="F11" s="316">
        <f>IF(入力画面!H5="","",入力画面!H5)</f>
        <v>0</v>
      </c>
      <c r="G11" s="317"/>
      <c r="H11" s="317"/>
      <c r="I11" s="317"/>
      <c r="J11" s="318"/>
      <c r="L11" s="16" t="s">
        <v>29</v>
      </c>
      <c r="M11" s="103"/>
      <c r="N11" s="16"/>
    </row>
    <row r="12" spans="2:15" ht="17.25" customHeight="1" x14ac:dyDescent="0.2">
      <c r="B12" s="4" t="s">
        <v>111</v>
      </c>
      <c r="C12" s="5"/>
      <c r="D12" s="5"/>
      <c r="E12" s="69">
        <f>IF(入力画面!H6="","",入力画面!H6)</f>
        <v>0</v>
      </c>
      <c r="F12" s="316">
        <f>IF(入力画面!H6="","",入力画面!H6)</f>
        <v>0</v>
      </c>
      <c r="G12" s="317"/>
      <c r="H12" s="317"/>
      <c r="I12" s="317"/>
      <c r="J12" s="318"/>
      <c r="L12" s="6" t="s">
        <v>109</v>
      </c>
      <c r="M12" s="129" t="str">
        <f>IF(入力画面!H4="","",入力画面!H4)</f>
        <v/>
      </c>
      <c r="N12" s="13"/>
    </row>
    <row r="13" spans="2:15" ht="17.25" customHeight="1" x14ac:dyDescent="0.2">
      <c r="B13" s="43" t="s">
        <v>485</v>
      </c>
      <c r="C13" s="10" t="s">
        <v>476</v>
      </c>
      <c r="D13" s="9"/>
      <c r="E13" s="69">
        <f>IF(入力画面!B9="","",入力画面!B9)</f>
        <v>62000</v>
      </c>
      <c r="F13" s="297">
        <f>IF(入力画面!B9="","",入力画面!B9)</f>
        <v>62000</v>
      </c>
      <c r="G13" s="298"/>
      <c r="H13" s="298"/>
      <c r="I13" s="298"/>
      <c r="J13" s="299"/>
      <c r="L13" s="8" t="s">
        <v>12</v>
      </c>
      <c r="M13" s="128">
        <f>IF(入力画面!H5="","",入力画面!H5)</f>
        <v>0</v>
      </c>
      <c r="N13" s="14"/>
    </row>
    <row r="14" spans="2:15" ht="17.25" customHeight="1" x14ac:dyDescent="0.2">
      <c r="B14" s="43" t="s">
        <v>485</v>
      </c>
      <c r="C14" s="11" t="s">
        <v>477</v>
      </c>
      <c r="D14" s="5"/>
      <c r="E14" s="69">
        <f>IF(入力画面!B10="","",入力画面!B10)</f>
        <v>4000</v>
      </c>
      <c r="F14" s="297">
        <f>IF(入力画面!B10="","",入力画面!B10)</f>
        <v>4000</v>
      </c>
      <c r="G14" s="298"/>
      <c r="H14" s="298"/>
      <c r="I14" s="298"/>
      <c r="J14" s="299"/>
      <c r="L14" s="8" t="s">
        <v>110</v>
      </c>
      <c r="M14" s="128">
        <f>IF(入力画面!H6="","",入力画面!H6)</f>
        <v>0</v>
      </c>
      <c r="N14" s="127"/>
    </row>
    <row r="15" spans="2:15" ht="17.25" customHeight="1" x14ac:dyDescent="0.2">
      <c r="B15" s="268"/>
      <c r="C15" s="266"/>
      <c r="D15" s="9"/>
      <c r="E15" s="69"/>
      <c r="F15" s="297"/>
      <c r="G15" s="298"/>
      <c r="H15" s="298"/>
      <c r="I15" s="298"/>
      <c r="J15" s="299"/>
      <c r="L15" s="8" t="s">
        <v>13</v>
      </c>
      <c r="M15" s="128">
        <f>IF(入力画面!H7="","",入力画面!H7)</f>
        <v>62000</v>
      </c>
      <c r="N15" s="14"/>
    </row>
    <row r="16" spans="2:15" ht="17.25" customHeight="1" x14ac:dyDescent="0.2">
      <c r="B16" s="43"/>
      <c r="C16" s="264"/>
      <c r="D16" s="5"/>
      <c r="E16" s="69"/>
      <c r="F16" s="285"/>
      <c r="G16" s="286"/>
      <c r="H16" s="286"/>
      <c r="I16" s="286"/>
      <c r="J16" s="287"/>
      <c r="L16" s="8" t="s">
        <v>14</v>
      </c>
      <c r="M16" s="128">
        <f>IF(入力画面!H8="","",入力画面!H8)</f>
        <v>4000</v>
      </c>
      <c r="N16" s="14"/>
    </row>
    <row r="17" spans="2:15" ht="17.25" customHeight="1" x14ac:dyDescent="0.2">
      <c r="B17" s="43"/>
      <c r="C17" s="10"/>
      <c r="D17" s="9"/>
      <c r="E17" s="69"/>
      <c r="F17" s="291"/>
      <c r="G17" s="292"/>
      <c r="H17" s="292"/>
      <c r="I17" s="292"/>
      <c r="J17" s="293"/>
      <c r="L17" s="8" t="s">
        <v>465</v>
      </c>
      <c r="M17" s="128"/>
      <c r="N17" s="14"/>
    </row>
    <row r="18" spans="2:15" ht="17.25" customHeight="1" x14ac:dyDescent="0.2">
      <c r="B18" s="43"/>
      <c r="C18" s="250"/>
      <c r="D18" s="5"/>
      <c r="E18" s="69"/>
      <c r="F18" s="291"/>
      <c r="G18" s="292"/>
      <c r="H18" s="292"/>
      <c r="I18" s="292"/>
      <c r="J18" s="293"/>
      <c r="L18" s="247" t="s">
        <v>467</v>
      </c>
      <c r="M18" s="128"/>
      <c r="N18" s="14"/>
    </row>
    <row r="19" spans="2:15" ht="17.25" customHeight="1" x14ac:dyDescent="0.2">
      <c r="B19" s="43"/>
      <c r="C19" s="249"/>
      <c r="D19" s="9"/>
      <c r="E19" s="69"/>
      <c r="F19" s="291"/>
      <c r="G19" s="292"/>
      <c r="H19" s="292"/>
      <c r="I19" s="292"/>
      <c r="J19" s="293"/>
      <c r="L19" s="85" t="s">
        <v>72</v>
      </c>
      <c r="M19" s="128" t="str">
        <f>IF(入力画面!H11="","",入力画面!H11)</f>
        <v/>
      </c>
      <c r="N19" s="14"/>
    </row>
    <row r="20" spans="2:15" ht="17.25" customHeight="1" thickBot="1" x14ac:dyDescent="0.25">
      <c r="B20" s="43"/>
      <c r="C20" s="248"/>
      <c r="D20" s="9"/>
      <c r="E20" s="69"/>
      <c r="F20" s="282"/>
      <c r="G20" s="283"/>
      <c r="H20" s="283"/>
      <c r="I20" s="283"/>
      <c r="J20" s="284"/>
      <c r="L20" s="86" t="s">
        <v>468</v>
      </c>
      <c r="M20" s="130"/>
      <c r="N20" s="15"/>
    </row>
    <row r="21" spans="2:15" ht="17.25" customHeight="1" x14ac:dyDescent="0.2">
      <c r="B21" s="116"/>
      <c r="C21" s="115"/>
      <c r="D21" s="9"/>
      <c r="E21" s="69"/>
      <c r="F21" s="282"/>
      <c r="G21" s="283"/>
      <c r="H21" s="283"/>
      <c r="I21" s="283"/>
      <c r="J21" s="284"/>
      <c r="L21" t="s">
        <v>10</v>
      </c>
    </row>
    <row r="22" spans="2:15" ht="17.25" customHeight="1" x14ac:dyDescent="0.2">
      <c r="B22" s="43"/>
      <c r="C22" s="11"/>
      <c r="D22" s="5"/>
      <c r="E22" s="69"/>
      <c r="F22" s="282"/>
      <c r="G22" s="283"/>
      <c r="H22" s="283"/>
      <c r="I22" s="283"/>
      <c r="J22" s="284"/>
      <c r="O22" s="44"/>
    </row>
    <row r="23" spans="2:15" ht="17.25" customHeight="1" x14ac:dyDescent="0.2">
      <c r="B23" s="43"/>
      <c r="C23" s="10"/>
      <c r="D23" s="9"/>
      <c r="E23" s="69"/>
      <c r="F23" s="282"/>
      <c r="G23" s="283"/>
      <c r="H23" s="283"/>
      <c r="I23" s="283"/>
      <c r="J23" s="284"/>
    </row>
    <row r="24" spans="2:15" ht="17.25" customHeight="1" x14ac:dyDescent="0.2">
      <c r="B24" s="255"/>
      <c r="C24" s="254"/>
      <c r="D24" s="253"/>
      <c r="E24" s="256"/>
      <c r="F24" s="294"/>
      <c r="G24" s="295"/>
      <c r="H24" s="295"/>
      <c r="I24" s="295"/>
      <c r="J24" s="296"/>
    </row>
    <row r="25" spans="2:15" ht="17.25" customHeight="1" x14ac:dyDescent="0.2">
      <c r="B25" s="269" t="s">
        <v>488</v>
      </c>
      <c r="C25" s="5"/>
      <c r="D25" s="5"/>
      <c r="E25" s="69">
        <v>16500</v>
      </c>
      <c r="F25" s="282">
        <v>16500</v>
      </c>
      <c r="G25" s="283"/>
      <c r="H25" s="283"/>
      <c r="I25" s="283"/>
      <c r="J25" s="284"/>
      <c r="L25" s="5"/>
    </row>
    <row r="26" spans="2:15" ht="17.25" customHeight="1" x14ac:dyDescent="0.2">
      <c r="B26" s="270" t="s">
        <v>489</v>
      </c>
      <c r="C26" s="10"/>
      <c r="D26" s="9"/>
      <c r="E26" s="69">
        <v>30000</v>
      </c>
      <c r="F26" s="282">
        <v>30000</v>
      </c>
      <c r="G26" s="283"/>
      <c r="H26" s="283"/>
      <c r="I26" s="283"/>
      <c r="J26" s="284"/>
    </row>
    <row r="27" spans="2:15" ht="17.25" customHeight="1" x14ac:dyDescent="0.2">
      <c r="B27" s="251" t="s">
        <v>482</v>
      </c>
      <c r="C27" s="5"/>
      <c r="D27" s="5"/>
      <c r="E27" s="69">
        <v>18000</v>
      </c>
      <c r="F27" s="285">
        <v>18000</v>
      </c>
      <c r="G27" s="286"/>
      <c r="H27" s="286"/>
      <c r="I27" s="286"/>
      <c r="J27" s="287"/>
    </row>
    <row r="28" spans="2:15" ht="17.25" customHeight="1" x14ac:dyDescent="0.25">
      <c r="B28" s="310" t="s">
        <v>483</v>
      </c>
      <c r="C28" s="311"/>
      <c r="D28" s="312"/>
      <c r="E28" s="257">
        <v>0</v>
      </c>
      <c r="F28" s="285">
        <f>IF(入力画面!B9="","",入力画面!B9)</f>
        <v>62000</v>
      </c>
      <c r="G28" s="286"/>
      <c r="H28" s="286"/>
      <c r="I28" s="286"/>
      <c r="J28" s="287"/>
    </row>
    <row r="29" spans="2:15" ht="17.25" customHeight="1" x14ac:dyDescent="0.2">
      <c r="B29" s="216" t="s">
        <v>479</v>
      </c>
      <c r="C29" s="109"/>
      <c r="D29" s="5"/>
      <c r="E29" s="69"/>
      <c r="F29" s="285">
        <f>F28*0.1</f>
        <v>6200</v>
      </c>
      <c r="G29" s="286"/>
      <c r="H29" s="286"/>
      <c r="I29" s="286"/>
      <c r="J29" s="287"/>
    </row>
    <row r="30" spans="2:15" ht="17.25" customHeight="1" x14ac:dyDescent="0.2">
      <c r="B30" s="302" t="s">
        <v>481</v>
      </c>
      <c r="C30" s="303"/>
      <c r="D30" s="304"/>
      <c r="E30" s="308">
        <v>-64500</v>
      </c>
      <c r="F30" s="258"/>
      <c r="G30" s="259"/>
      <c r="H30" s="259"/>
      <c r="I30" s="259"/>
      <c r="J30" s="260"/>
    </row>
    <row r="31" spans="2:15" ht="17.25" customHeight="1" thickBot="1" x14ac:dyDescent="0.25">
      <c r="B31" s="305"/>
      <c r="C31" s="306"/>
      <c r="D31" s="307"/>
      <c r="E31" s="309"/>
      <c r="F31" s="261"/>
      <c r="G31" s="262"/>
      <c r="H31" s="262"/>
      <c r="I31" s="262"/>
      <c r="J31" s="263"/>
    </row>
    <row r="32" spans="2:15" ht="17.25" customHeight="1" thickTop="1" thickBot="1" x14ac:dyDescent="0.35">
      <c r="B32" s="17" t="s">
        <v>9</v>
      </c>
      <c r="C32" s="18"/>
      <c r="D32" s="18"/>
      <c r="E32" s="265">
        <f>SUM(E10:E31)</f>
        <v>66000</v>
      </c>
      <c r="F32" s="288">
        <f>SUM(F11:J31)</f>
        <v>198700</v>
      </c>
      <c r="G32" s="289"/>
      <c r="H32" s="289"/>
      <c r="I32" s="289"/>
      <c r="J32" s="290"/>
    </row>
    <row r="33" spans="2:15" ht="16.5" customHeight="1" thickBot="1" x14ac:dyDescent="0.25">
      <c r="E33" s="58" t="s">
        <v>48</v>
      </c>
    </row>
    <row r="34" spans="2:15" ht="17.25" hidden="1" customHeight="1" x14ac:dyDescent="0.2">
      <c r="B34" s="118"/>
      <c r="C34" s="3"/>
      <c r="D34" s="119"/>
      <c r="E34" s="120"/>
      <c r="F34" s="4"/>
      <c r="G34" s="5"/>
      <c r="H34" s="5"/>
      <c r="I34" s="5"/>
      <c r="J34" s="5"/>
    </row>
    <row r="35" spans="2:15" ht="17.25" customHeight="1" x14ac:dyDescent="0.2">
      <c r="B35" s="228" t="s">
        <v>481</v>
      </c>
      <c r="C35" s="229"/>
      <c r="D35" s="230"/>
      <c r="E35" s="231">
        <f>E30</f>
        <v>-64500</v>
      </c>
      <c r="F35" s="4"/>
      <c r="G35" s="5"/>
      <c r="H35" s="5"/>
      <c r="I35" s="5"/>
      <c r="J35" s="5"/>
    </row>
    <row r="36" spans="2:15" ht="17.25" customHeight="1" thickBot="1" x14ac:dyDescent="0.25">
      <c r="B36" s="4"/>
      <c r="C36" s="5"/>
      <c r="D36" s="20"/>
      <c r="E36" s="29"/>
      <c r="F36" s="31"/>
      <c r="G36" s="5"/>
      <c r="H36" s="5"/>
      <c r="I36" s="5"/>
      <c r="J36" s="5"/>
    </row>
    <row r="37" spans="2:15" ht="17.25" customHeight="1" thickTop="1" thickBot="1" x14ac:dyDescent="0.25">
      <c r="B37" s="17" t="s">
        <v>486</v>
      </c>
      <c r="C37" s="18"/>
      <c r="D37" s="21"/>
      <c r="E37" s="76">
        <f>E32-E34-E36</f>
        <v>66000</v>
      </c>
    </row>
    <row r="38" spans="2:15" ht="10.5" customHeight="1" thickBot="1" x14ac:dyDescent="0.25">
      <c r="E38" s="27"/>
      <c r="G38" s="27"/>
    </row>
    <row r="39" spans="2:15" x14ac:dyDescent="0.2">
      <c r="B39" s="3"/>
      <c r="C39" s="3"/>
      <c r="D39" s="3" t="s">
        <v>46</v>
      </c>
      <c r="E39" s="232"/>
      <c r="F39" s="3" t="s">
        <v>18</v>
      </c>
      <c r="H39" s="3"/>
      <c r="I39" s="3"/>
      <c r="J39" s="3"/>
      <c r="K39" s="3"/>
      <c r="L39" s="3"/>
      <c r="M39" s="3"/>
      <c r="N39" s="3"/>
      <c r="O39" s="5"/>
    </row>
    <row r="40" spans="2:15" x14ac:dyDescent="0.2">
      <c r="D40" t="s">
        <v>20</v>
      </c>
    </row>
    <row r="41" spans="2:15" ht="13.5" thickBot="1" x14ac:dyDescent="0.25">
      <c r="D41" t="s">
        <v>19</v>
      </c>
    </row>
    <row r="42" spans="2:15" x14ac:dyDescent="0.2">
      <c r="B42" s="3"/>
      <c r="C42" s="3"/>
      <c r="D42" s="122"/>
      <c r="E42" s="3"/>
      <c r="F42" s="3"/>
      <c r="G42" s="3"/>
      <c r="H42" s="3"/>
      <c r="I42" s="3"/>
      <c r="J42" s="3"/>
      <c r="K42" s="3"/>
    </row>
    <row r="43" spans="2:15" x14ac:dyDescent="0.2">
      <c r="D43" s="235" t="s">
        <v>478</v>
      </c>
      <c r="E43" s="121" t="s">
        <v>475</v>
      </c>
    </row>
    <row r="44" spans="2:15" x14ac:dyDescent="0.2">
      <c r="D44" s="121" t="s">
        <v>446</v>
      </c>
      <c r="E44" s="121" t="s">
        <v>490</v>
      </c>
    </row>
    <row r="46" spans="2:15" x14ac:dyDescent="0.2">
      <c r="I46" s="77"/>
      <c r="O46" t="s">
        <v>21</v>
      </c>
    </row>
    <row r="47" spans="2:15" x14ac:dyDescent="0.2">
      <c r="J47" s="74"/>
      <c r="K47" s="74"/>
      <c r="L47" s="74"/>
    </row>
    <row r="48" spans="2:15" x14ac:dyDescent="0.2">
      <c r="K48" t="s">
        <v>48</v>
      </c>
    </row>
    <row r="49" spans="13:13" ht="14" x14ac:dyDescent="0.2">
      <c r="M49" s="117"/>
    </row>
  </sheetData>
  <mergeCells count="26">
    <mergeCell ref="B3:E3"/>
    <mergeCell ref="M8:N8"/>
    <mergeCell ref="F28:J28"/>
    <mergeCell ref="F29:J29"/>
    <mergeCell ref="B30:D31"/>
    <mergeCell ref="E30:E31"/>
    <mergeCell ref="B28:D28"/>
    <mergeCell ref="F10:J10"/>
    <mergeCell ref="F11:J11"/>
    <mergeCell ref="F12:J12"/>
    <mergeCell ref="F13:J13"/>
    <mergeCell ref="F14:J14"/>
    <mergeCell ref="F15:J15"/>
    <mergeCell ref="F16:J16"/>
    <mergeCell ref="F17:J17"/>
    <mergeCell ref="F18:J18"/>
    <mergeCell ref="F26:J26"/>
    <mergeCell ref="F27:J27"/>
    <mergeCell ref="F32:J32"/>
    <mergeCell ref="F19:J19"/>
    <mergeCell ref="F20:J20"/>
    <mergeCell ref="F21:J21"/>
    <mergeCell ref="F22:J22"/>
    <mergeCell ref="F23:J23"/>
    <mergeCell ref="F25:J25"/>
    <mergeCell ref="F24:J24"/>
  </mergeCells>
  <phoneticPr fontId="3"/>
  <pageMargins left="0.11811023622047245" right="0.19685039370078741" top="0.59055118110236227" bottom="0" header="0.51181102362204722" footer="0.51181102362204722"/>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66D50-B3C3-4314-9382-52D7351CBE00}">
  <sheetPr codeName="Sheet4">
    <pageSetUpPr fitToPage="1"/>
  </sheetPr>
  <dimension ref="B1:O49"/>
  <sheetViews>
    <sheetView view="pageBreakPreview" topLeftCell="A9" zoomScale="97" zoomScaleNormal="100" zoomScaleSheetLayoutView="100" workbookViewId="0">
      <selection activeCell="P5" sqref="P5"/>
    </sheetView>
  </sheetViews>
  <sheetFormatPr defaultRowHeight="13" x14ac:dyDescent="0.2"/>
  <cols>
    <col min="1" max="1" width="3.453125" customWidth="1"/>
    <col min="2" max="3" width="3" customWidth="1"/>
    <col min="4" max="4" width="11.08984375" customWidth="1"/>
    <col min="5" max="5" width="15.7265625" customWidth="1"/>
    <col min="6" max="6" width="5.7265625" customWidth="1"/>
    <col min="7" max="7" width="2.90625" customWidth="1"/>
    <col min="8" max="8" width="1.6328125" customWidth="1"/>
    <col min="9" max="9" width="3.453125" customWidth="1"/>
    <col min="10" max="10" width="5.90625" customWidth="1"/>
    <col min="11" max="11" width="2.6328125" customWidth="1"/>
    <col min="12" max="12" width="9.08984375" customWidth="1"/>
    <col min="13" max="13" width="20.90625" customWidth="1"/>
    <col min="14" max="14" width="8.08984375" customWidth="1"/>
    <col min="15" max="15" width="12.90625" customWidth="1"/>
    <col min="16" max="16" width="31.453125" customWidth="1"/>
  </cols>
  <sheetData>
    <row r="1" spans="2:15" x14ac:dyDescent="0.2">
      <c r="M1" s="233">
        <f ca="1">NOW()</f>
        <v>46176.343007291667</v>
      </c>
    </row>
    <row r="3" spans="2:15" ht="18" customHeight="1" x14ac:dyDescent="0.3">
      <c r="B3" s="300" t="str">
        <f>IF(入力画面!B3="","",入力画面!B3)</f>
        <v/>
      </c>
      <c r="C3" s="300"/>
      <c r="D3" s="300"/>
      <c r="E3" s="300"/>
      <c r="F3" s="22"/>
      <c r="K3" s="1"/>
      <c r="L3" s="1"/>
    </row>
    <row r="4" spans="2:15" ht="14.25" customHeight="1" x14ac:dyDescent="0.2">
      <c r="B4" t="s">
        <v>473</v>
      </c>
      <c r="K4" s="1"/>
    </row>
    <row r="5" spans="2:15" x14ac:dyDescent="0.2">
      <c r="B5" t="s">
        <v>451</v>
      </c>
    </row>
    <row r="6" spans="2:15" x14ac:dyDescent="0.2">
      <c r="B6" t="s">
        <v>452</v>
      </c>
    </row>
    <row r="7" spans="2:15" ht="6" customHeight="1" x14ac:dyDescent="0.2"/>
    <row r="8" spans="2:15" ht="26.25" customHeight="1" x14ac:dyDescent="0.3">
      <c r="B8" s="5"/>
      <c r="C8" s="133"/>
      <c r="D8" s="133" t="s">
        <v>49</v>
      </c>
      <c r="E8" s="134">
        <f>E37</f>
        <v>191965</v>
      </c>
      <c r="F8" s="135"/>
      <c r="G8" s="135"/>
      <c r="H8" s="25"/>
      <c r="I8" s="25"/>
      <c r="J8" s="25"/>
      <c r="L8" s="102" t="s">
        <v>47</v>
      </c>
      <c r="M8" s="301" t="str">
        <f>IF(入力画面!H2="","",入力画面!H2)</f>
        <v xml:space="preserve">	ハーモニーテラス生野西</v>
      </c>
      <c r="N8" s="301"/>
      <c r="O8" s="5"/>
    </row>
    <row r="9" spans="2:15" ht="17.25" customHeight="1" thickBot="1" x14ac:dyDescent="0.25">
      <c r="B9" s="5"/>
      <c r="C9" s="5"/>
      <c r="D9" s="5"/>
      <c r="E9" s="5"/>
      <c r="F9" s="5"/>
      <c r="L9" s="102" t="s">
        <v>68</v>
      </c>
      <c r="M9" s="236" t="str">
        <f>IF(入力画面!H3="","",入力画面!H3)</f>
        <v/>
      </c>
      <c r="N9" s="234">
        <f>IF(入力画面!I5="","",入力画面!I5)</f>
        <v>202</v>
      </c>
    </row>
    <row r="10" spans="2:15" ht="17.25" customHeight="1" x14ac:dyDescent="0.2">
      <c r="B10" s="6"/>
      <c r="C10" s="12"/>
      <c r="D10" s="7"/>
      <c r="E10" s="75" t="str">
        <f>IF(入力画面!H4="","",入力画面!H4)</f>
        <v/>
      </c>
      <c r="F10" s="6"/>
      <c r="G10" s="12"/>
      <c r="H10" s="12"/>
      <c r="I10" s="12"/>
      <c r="J10" s="13"/>
      <c r="L10" s="102" t="s">
        <v>69</v>
      </c>
      <c r="M10" s="237" t="str">
        <f>IF(入力画面!B4="","",入力画面!B4)</f>
        <v/>
      </c>
      <c r="N10" s="2" t="s">
        <v>40</v>
      </c>
    </row>
    <row r="11" spans="2:15" ht="17.25" customHeight="1" thickBot="1" x14ac:dyDescent="0.25">
      <c r="B11" s="8" t="s">
        <v>3</v>
      </c>
      <c r="C11" s="10"/>
      <c r="D11" s="9"/>
      <c r="E11" s="69">
        <f>IF(入力画面!H5="","",入力画面!H5)</f>
        <v>0</v>
      </c>
      <c r="F11" s="10"/>
      <c r="G11" s="10"/>
      <c r="H11" s="10"/>
      <c r="I11" s="10"/>
      <c r="J11" s="14"/>
      <c r="L11" s="16" t="s">
        <v>29</v>
      </c>
      <c r="M11" s="103"/>
      <c r="N11" s="16"/>
    </row>
    <row r="12" spans="2:15" ht="17.25" customHeight="1" x14ac:dyDescent="0.2">
      <c r="B12" s="4" t="s">
        <v>111</v>
      </c>
      <c r="C12" s="5"/>
      <c r="D12" s="5"/>
      <c r="E12" s="69">
        <f>IF(入力画面!H6="","",入力画面!H6)</f>
        <v>0</v>
      </c>
      <c r="F12" s="5"/>
      <c r="G12" s="5"/>
      <c r="H12" s="5"/>
      <c r="I12" s="5"/>
      <c r="J12" s="127"/>
      <c r="L12" s="6" t="s">
        <v>109</v>
      </c>
      <c r="M12" s="129" t="str">
        <f>IF(入力画面!H4="","",入力画面!H4)</f>
        <v/>
      </c>
      <c r="N12" s="13"/>
    </row>
    <row r="13" spans="2:15" ht="17.25" customHeight="1" x14ac:dyDescent="0.2">
      <c r="B13" s="43">
        <v>11</v>
      </c>
      <c r="C13" s="10" t="s">
        <v>27</v>
      </c>
      <c r="D13" s="9"/>
      <c r="E13" s="69">
        <f>IF(入力画面!B9="","",入力画面!B9)</f>
        <v>62000</v>
      </c>
      <c r="F13" s="112">
        <f>IF(入力画面!D9="","",入力画面!D9)</f>
        <v>1</v>
      </c>
      <c r="G13" s="66" t="s">
        <v>24</v>
      </c>
      <c r="H13" s="66" t="s">
        <v>25</v>
      </c>
      <c r="I13" s="112">
        <f>IF(入力画面!E9="","",入力画面!E9)</f>
        <v>31</v>
      </c>
      <c r="J13" s="65" t="s">
        <v>26</v>
      </c>
      <c r="L13" s="8" t="s">
        <v>12</v>
      </c>
      <c r="M13" s="128">
        <f>IF(入力画面!H5="","",入力画面!H5)</f>
        <v>0</v>
      </c>
      <c r="N13" s="14"/>
    </row>
    <row r="14" spans="2:15" ht="17.25" customHeight="1" x14ac:dyDescent="0.2">
      <c r="B14" s="43">
        <v>11</v>
      </c>
      <c r="C14" s="11" t="s">
        <v>28</v>
      </c>
      <c r="D14" s="5"/>
      <c r="E14" s="69">
        <v>4065</v>
      </c>
      <c r="F14" s="112">
        <f>IF(入力画面!D9="","",入力画面!D9)</f>
        <v>1</v>
      </c>
      <c r="G14" s="66" t="s">
        <v>24</v>
      </c>
      <c r="H14" s="66" t="s">
        <v>25</v>
      </c>
      <c r="I14" s="112">
        <f>IF(入力画面!E9="","",入力画面!E9)</f>
        <v>31</v>
      </c>
      <c r="J14" s="68" t="s">
        <v>26</v>
      </c>
      <c r="L14" s="8" t="s">
        <v>110</v>
      </c>
      <c r="M14" s="128">
        <f>IF(入力画面!H6="","",入力画面!H6)</f>
        <v>0</v>
      </c>
      <c r="N14" s="127"/>
    </row>
    <row r="15" spans="2:15" ht="17.25" customHeight="1" x14ac:dyDescent="0.2">
      <c r="B15" s="43"/>
      <c r="C15" s="10"/>
      <c r="D15" s="9"/>
      <c r="E15" s="69"/>
      <c r="F15" s="112"/>
      <c r="G15" s="66"/>
      <c r="H15" s="66" t="s">
        <v>25</v>
      </c>
      <c r="I15" s="112"/>
      <c r="J15" s="65" t="s">
        <v>26</v>
      </c>
      <c r="L15" s="8" t="s">
        <v>13</v>
      </c>
      <c r="M15" s="128">
        <f>IF(入力画面!H7="","",入力画面!H7)</f>
        <v>62000</v>
      </c>
      <c r="N15" s="14"/>
    </row>
    <row r="16" spans="2:15" ht="17.25" customHeight="1" x14ac:dyDescent="0.2">
      <c r="B16" s="43"/>
      <c r="C16" s="5"/>
      <c r="D16" s="5"/>
      <c r="E16" s="69"/>
      <c r="F16" s="112"/>
      <c r="G16" s="66"/>
      <c r="H16" s="66"/>
      <c r="I16" s="112"/>
      <c r="J16" s="65"/>
      <c r="L16" s="8" t="s">
        <v>14</v>
      </c>
      <c r="M16" s="128">
        <f>IF(入力画面!H8="","",入力画面!H8)</f>
        <v>4000</v>
      </c>
      <c r="N16" s="14"/>
    </row>
    <row r="17" spans="2:15" ht="17.25" customHeight="1" x14ac:dyDescent="0.2">
      <c r="B17" s="43">
        <f>B13+1</f>
        <v>12</v>
      </c>
      <c r="C17" s="10" t="s">
        <v>27</v>
      </c>
      <c r="D17" s="9"/>
      <c r="E17" s="69">
        <f>IF(入力画面!B14="","",入力画面!B14)</f>
        <v>55000</v>
      </c>
      <c r="F17" s="113"/>
      <c r="G17" s="66"/>
      <c r="H17" s="66"/>
      <c r="I17" s="67"/>
      <c r="J17" s="65"/>
      <c r="L17" s="8" t="s">
        <v>465</v>
      </c>
      <c r="M17" s="128" t="str">
        <f>IF(入力画面!H9="","",入力画面!H9)</f>
        <v/>
      </c>
      <c r="N17" s="14"/>
    </row>
    <row r="18" spans="2:15" ht="17.25" customHeight="1" x14ac:dyDescent="0.2">
      <c r="B18" s="43">
        <f>B14+1</f>
        <v>12</v>
      </c>
      <c r="C18" s="5" t="s">
        <v>28</v>
      </c>
      <c r="D18" s="5"/>
      <c r="E18" s="69">
        <f>IF(入力画面!B15="","",入力画面!B15)</f>
        <v>6000</v>
      </c>
      <c r="F18" s="113"/>
      <c r="G18" s="66"/>
      <c r="H18" s="66"/>
      <c r="I18" s="67"/>
      <c r="J18" s="65"/>
      <c r="L18" s="111"/>
      <c r="M18" s="128" t="str">
        <f>IF(入力画面!H10="","",入力画面!H10)</f>
        <v/>
      </c>
      <c r="N18" s="14"/>
    </row>
    <row r="19" spans="2:15" ht="17.25" customHeight="1" x14ac:dyDescent="0.2">
      <c r="B19" s="43"/>
      <c r="C19" s="10"/>
      <c r="D19" s="9"/>
      <c r="E19" s="69" t="str">
        <f>IF(入力画面!B16="","",入力画面!B16)</f>
        <v/>
      </c>
      <c r="F19" s="113"/>
      <c r="G19" s="66"/>
      <c r="H19" s="66"/>
      <c r="I19" s="67"/>
      <c r="J19" s="65"/>
      <c r="L19" s="85" t="s">
        <v>72</v>
      </c>
      <c r="M19" s="128" t="str">
        <f>IF(入力画面!H11="","",入力画面!H11)</f>
        <v/>
      </c>
      <c r="N19" s="14"/>
    </row>
    <row r="20" spans="2:15" ht="17.25" customHeight="1" thickBot="1" x14ac:dyDescent="0.25">
      <c r="B20" s="43"/>
      <c r="C20" s="10"/>
      <c r="D20" s="9"/>
      <c r="E20" s="69"/>
      <c r="F20" s="113"/>
      <c r="G20" s="66"/>
      <c r="H20" s="66"/>
      <c r="I20" s="67"/>
      <c r="J20" s="65"/>
      <c r="L20" s="86" t="s">
        <v>60</v>
      </c>
      <c r="M20" s="130" t="str">
        <f>IF(入力画面!H13="","",入力画面!H13)</f>
        <v/>
      </c>
      <c r="N20" s="15"/>
    </row>
    <row r="21" spans="2:15" ht="17.25" customHeight="1" x14ac:dyDescent="0.2">
      <c r="B21" s="116"/>
      <c r="C21" s="115"/>
      <c r="D21" s="9"/>
      <c r="E21" s="69"/>
      <c r="F21" s="113"/>
      <c r="G21" s="66"/>
      <c r="H21" s="66"/>
      <c r="I21" s="66"/>
      <c r="J21" s="65"/>
      <c r="L21" t="s">
        <v>10</v>
      </c>
    </row>
    <row r="22" spans="2:15" ht="17.25" customHeight="1" x14ac:dyDescent="0.2">
      <c r="B22" s="43"/>
      <c r="C22" s="11"/>
      <c r="D22" s="5"/>
      <c r="E22" s="69"/>
      <c r="F22" s="70"/>
      <c r="G22" s="66"/>
      <c r="H22" s="66"/>
      <c r="I22" s="110"/>
      <c r="J22" s="65"/>
      <c r="O22" s="44"/>
    </row>
    <row r="23" spans="2:15" ht="17.25" customHeight="1" x14ac:dyDescent="0.2">
      <c r="B23" s="43"/>
      <c r="C23" s="10"/>
      <c r="D23" s="9"/>
      <c r="E23" s="69"/>
      <c r="F23" s="24"/>
      <c r="G23" s="10"/>
      <c r="H23" s="10"/>
      <c r="I23" s="23"/>
      <c r="J23" s="14"/>
    </row>
    <row r="24" spans="2:15" ht="17.25" customHeight="1" x14ac:dyDescent="0.2">
      <c r="B24" s="241" t="s">
        <v>113</v>
      </c>
      <c r="C24" s="242"/>
      <c r="D24" s="243"/>
      <c r="E24" s="244">
        <v>0</v>
      </c>
      <c r="F24" s="328" t="s">
        <v>463</v>
      </c>
      <c r="G24" s="329"/>
      <c r="H24" s="329"/>
      <c r="I24" s="329"/>
      <c r="J24" s="330"/>
    </row>
    <row r="25" spans="2:15" ht="17.25" customHeight="1" x14ac:dyDescent="0.2">
      <c r="B25" s="4"/>
      <c r="C25" s="5"/>
      <c r="D25" s="5"/>
      <c r="E25" s="69"/>
      <c r="F25" s="238"/>
      <c r="G25" s="239"/>
      <c r="H25" s="239"/>
      <c r="I25" s="239"/>
      <c r="J25" s="240"/>
      <c r="L25" s="5"/>
      <c r="M25" s="77"/>
    </row>
    <row r="26" spans="2:15" ht="17.25" customHeight="1" x14ac:dyDescent="0.2">
      <c r="B26" s="8"/>
      <c r="C26" s="10"/>
      <c r="D26" s="9"/>
      <c r="E26" s="69"/>
      <c r="F26" s="8"/>
      <c r="G26" s="10"/>
      <c r="H26" s="10"/>
      <c r="I26" s="10"/>
      <c r="J26" s="14"/>
      <c r="M26" s="77"/>
    </row>
    <row r="27" spans="2:15" ht="17.25" customHeight="1" x14ac:dyDescent="0.2">
      <c r="B27" s="4" t="s">
        <v>472</v>
      </c>
      <c r="C27" s="5"/>
      <c r="D27" s="5"/>
      <c r="E27" s="69">
        <v>6600</v>
      </c>
      <c r="F27" s="8"/>
      <c r="G27" s="10"/>
      <c r="H27" s="10"/>
      <c r="I27" s="10"/>
      <c r="J27" s="14"/>
    </row>
    <row r="28" spans="2:15" ht="17.25" customHeight="1" x14ac:dyDescent="0.2">
      <c r="B28" s="8" t="s">
        <v>1</v>
      </c>
      <c r="C28" s="10"/>
      <c r="D28" s="9"/>
      <c r="E28" s="245" t="s">
        <v>469</v>
      </c>
      <c r="F28" s="322" t="s">
        <v>464</v>
      </c>
      <c r="G28" s="323"/>
      <c r="H28" s="323"/>
      <c r="I28" s="323"/>
      <c r="J28" s="324"/>
    </row>
    <row r="29" spans="2:15" ht="17.25" customHeight="1" x14ac:dyDescent="0.2">
      <c r="B29" s="216" t="s">
        <v>471</v>
      </c>
      <c r="C29" s="109"/>
      <c r="D29" s="5"/>
      <c r="E29" s="69">
        <v>16500</v>
      </c>
      <c r="F29" s="322"/>
      <c r="G29" s="323"/>
      <c r="H29" s="323"/>
      <c r="I29" s="323"/>
      <c r="J29" s="324"/>
    </row>
    <row r="30" spans="2:15" ht="17.25" customHeight="1" x14ac:dyDescent="0.2">
      <c r="B30" s="19" t="s">
        <v>470</v>
      </c>
      <c r="C30" s="11"/>
      <c r="D30" s="11"/>
      <c r="E30" s="69">
        <v>19800</v>
      </c>
      <c r="F30" s="322" t="s">
        <v>73</v>
      </c>
      <c r="G30" s="323"/>
      <c r="H30" s="323"/>
      <c r="I30" s="323"/>
      <c r="J30" s="324"/>
    </row>
    <row r="31" spans="2:15" ht="17.25" customHeight="1" thickBot="1" x14ac:dyDescent="0.25">
      <c r="B31" s="319" t="s">
        <v>108</v>
      </c>
      <c r="C31" s="320"/>
      <c r="D31" s="321"/>
      <c r="E31" s="246">
        <v>22000</v>
      </c>
      <c r="F31" s="325"/>
      <c r="G31" s="326"/>
      <c r="H31" s="326"/>
      <c r="I31" s="326"/>
      <c r="J31" s="327"/>
    </row>
    <row r="32" spans="2:15" ht="17.25" customHeight="1" thickTop="1" thickBot="1" x14ac:dyDescent="0.25">
      <c r="B32" s="17" t="s">
        <v>9</v>
      </c>
      <c r="C32" s="18"/>
      <c r="D32" s="18"/>
      <c r="E32" s="30">
        <f>SUM(E10:E31)</f>
        <v>191965</v>
      </c>
      <c r="F32" s="26"/>
      <c r="G32" s="27"/>
      <c r="H32" s="27"/>
      <c r="I32" s="27"/>
      <c r="J32" s="28"/>
    </row>
    <row r="33" spans="2:15" ht="16.5" customHeight="1" thickBot="1" x14ac:dyDescent="0.25">
      <c r="E33" s="58" t="s">
        <v>48</v>
      </c>
    </row>
    <row r="34" spans="2:15" ht="17.25" hidden="1" customHeight="1" x14ac:dyDescent="0.2">
      <c r="B34" s="118"/>
      <c r="C34" s="3"/>
      <c r="D34" s="119"/>
      <c r="E34" s="120"/>
      <c r="F34" s="4"/>
      <c r="G34" s="5"/>
      <c r="H34" s="5"/>
      <c r="I34" s="5"/>
      <c r="J34" s="5"/>
    </row>
    <row r="35" spans="2:15" ht="17.25" customHeight="1" x14ac:dyDescent="0.2">
      <c r="B35" s="228" t="s">
        <v>17</v>
      </c>
      <c r="C35" s="229"/>
      <c r="D35" s="230"/>
      <c r="E35" s="231">
        <v>0</v>
      </c>
      <c r="F35" s="4"/>
      <c r="G35" s="5"/>
      <c r="H35" s="5"/>
      <c r="I35" s="5"/>
      <c r="J35" s="5"/>
    </row>
    <row r="36" spans="2:15" ht="17.25" customHeight="1" thickBot="1" x14ac:dyDescent="0.25">
      <c r="B36" s="4" t="s">
        <v>51</v>
      </c>
      <c r="C36" s="5"/>
      <c r="D36" s="20"/>
      <c r="E36" s="29">
        <f>IF(入力画面!D23="","",入力画面!D23)</f>
        <v>0</v>
      </c>
      <c r="F36" s="31"/>
      <c r="G36" s="5"/>
      <c r="H36" s="5"/>
      <c r="I36" s="5"/>
      <c r="J36" s="5"/>
    </row>
    <row r="37" spans="2:15" ht="17.25" customHeight="1" thickTop="1" thickBot="1" x14ac:dyDescent="0.25">
      <c r="B37" s="17" t="s">
        <v>16</v>
      </c>
      <c r="C37" s="18"/>
      <c r="D37" s="21"/>
      <c r="E37" s="76">
        <f>E32-E34-E36-E35</f>
        <v>191965</v>
      </c>
    </row>
    <row r="38" spans="2:15" ht="10.5" customHeight="1" thickBot="1" x14ac:dyDescent="0.25">
      <c r="E38" s="27"/>
      <c r="G38" s="27"/>
    </row>
    <row r="39" spans="2:15" x14ac:dyDescent="0.2">
      <c r="B39" s="3"/>
      <c r="C39" s="3"/>
      <c r="D39" s="3" t="s">
        <v>46</v>
      </c>
      <c r="E39" s="232">
        <v>44839</v>
      </c>
      <c r="F39" s="3" t="s">
        <v>18</v>
      </c>
      <c r="H39" s="3"/>
      <c r="I39" s="3"/>
      <c r="J39" s="3"/>
      <c r="K39" s="3"/>
      <c r="L39" s="3"/>
      <c r="M39" s="3"/>
      <c r="N39" s="3"/>
      <c r="O39" s="5"/>
    </row>
    <row r="40" spans="2:15" x14ac:dyDescent="0.2">
      <c r="D40" t="s">
        <v>20</v>
      </c>
    </row>
    <row r="41" spans="2:15" ht="13.5" thickBot="1" x14ac:dyDescent="0.25">
      <c r="D41" t="s">
        <v>19</v>
      </c>
    </row>
    <row r="42" spans="2:15" x14ac:dyDescent="0.2">
      <c r="B42" s="3"/>
      <c r="C42" s="3"/>
      <c r="D42" s="122"/>
      <c r="E42" s="3"/>
      <c r="F42" s="3"/>
      <c r="G42" s="3"/>
      <c r="H42" s="3"/>
      <c r="I42" s="3"/>
      <c r="J42" s="3"/>
      <c r="K42" s="3"/>
    </row>
    <row r="43" spans="2:15" x14ac:dyDescent="0.2">
      <c r="D43" s="235" t="s">
        <v>449</v>
      </c>
      <c r="E43" s="121" t="s">
        <v>447</v>
      </c>
    </row>
    <row r="44" spans="2:15" x14ac:dyDescent="0.2">
      <c r="D44" s="121"/>
      <c r="E44" s="121" t="s">
        <v>448</v>
      </c>
    </row>
    <row r="46" spans="2:15" x14ac:dyDescent="0.2">
      <c r="I46" s="77"/>
      <c r="O46" t="s">
        <v>21</v>
      </c>
    </row>
    <row r="47" spans="2:15" x14ac:dyDescent="0.2">
      <c r="J47" s="74"/>
      <c r="K47" s="74"/>
      <c r="L47" s="74"/>
    </row>
    <row r="48" spans="2:15" x14ac:dyDescent="0.2">
      <c r="K48" t="s">
        <v>48</v>
      </c>
    </row>
    <row r="49" spans="13:13" ht="14" x14ac:dyDescent="0.2">
      <c r="M49" s="117"/>
    </row>
  </sheetData>
  <mergeCells count="8">
    <mergeCell ref="B3:E3"/>
    <mergeCell ref="B31:D31"/>
    <mergeCell ref="M8:N8"/>
    <mergeCell ref="F28:J28"/>
    <mergeCell ref="F29:J29"/>
    <mergeCell ref="F30:J30"/>
    <mergeCell ref="F31:J31"/>
    <mergeCell ref="F24:J24"/>
  </mergeCells>
  <phoneticPr fontId="3"/>
  <pageMargins left="0.11811023622047245" right="0.19685039370078741" top="0.59055118110236227" bottom="0" header="0.51181102362204722" footer="0.51181102362204722"/>
  <pageSetup paperSize="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5601" r:id="rId4" name="Check Box 1">
              <controlPr defaultSize="0" autoFill="0" autoLine="0" autoPict="0">
                <anchor moveWithCells="1">
                  <from>
                    <xdr:col>11</xdr:col>
                    <xdr:colOff>0</xdr:colOff>
                    <xdr:row>24</xdr:row>
                    <xdr:rowOff>19050</xdr:rowOff>
                  </from>
                  <to>
                    <xdr:col>12</xdr:col>
                    <xdr:colOff>114300</xdr:colOff>
                    <xdr:row>25</xdr:row>
                    <xdr:rowOff>6350</xdr:rowOff>
                  </to>
                </anchor>
              </controlPr>
            </control>
          </mc:Choice>
        </mc:AlternateContent>
        <mc:AlternateContent xmlns:mc="http://schemas.openxmlformats.org/markup-compatibility/2006">
          <mc:Choice Requires="x14">
            <control shapeId="25602" r:id="rId5" name="Check Box 2">
              <controlPr defaultSize="0" autoFill="0" autoLine="0" autoPict="0">
                <anchor moveWithCells="1">
                  <from>
                    <xdr:col>11</xdr:col>
                    <xdr:colOff>0</xdr:colOff>
                    <xdr:row>26</xdr:row>
                    <xdr:rowOff>0</xdr:rowOff>
                  </from>
                  <to>
                    <xdr:col>12</xdr:col>
                    <xdr:colOff>190500</xdr:colOff>
                    <xdr:row>26</xdr:row>
                    <xdr:rowOff>209550</xdr:rowOff>
                  </to>
                </anchor>
              </controlPr>
            </control>
          </mc:Choice>
        </mc:AlternateContent>
        <mc:AlternateContent xmlns:mc="http://schemas.openxmlformats.org/markup-compatibility/2006">
          <mc:Choice Requires="x14">
            <control shapeId="25603" r:id="rId6" name="Check Box 3">
              <controlPr defaultSize="0" autoFill="0" autoLine="0" autoPict="0">
                <anchor moveWithCells="1">
                  <from>
                    <xdr:col>11</xdr:col>
                    <xdr:colOff>0</xdr:colOff>
                    <xdr:row>25</xdr:row>
                    <xdr:rowOff>0</xdr:rowOff>
                  </from>
                  <to>
                    <xdr:col>12</xdr:col>
                    <xdr:colOff>0</xdr:colOff>
                    <xdr:row>25</xdr:row>
                    <xdr:rowOff>209550</xdr:rowOff>
                  </to>
                </anchor>
              </controlPr>
            </control>
          </mc:Choice>
        </mc:AlternateContent>
        <mc:AlternateContent xmlns:mc="http://schemas.openxmlformats.org/markup-compatibility/2006">
          <mc:Choice Requires="x14">
            <control shapeId="25604" r:id="rId7" name="Check Box 4">
              <controlPr defaultSize="0" autoFill="0" autoLine="0" autoPict="0">
                <anchor moveWithCells="1">
                  <from>
                    <xdr:col>12</xdr:col>
                    <xdr:colOff>95250</xdr:colOff>
                    <xdr:row>24</xdr:row>
                    <xdr:rowOff>0</xdr:rowOff>
                  </from>
                  <to>
                    <xdr:col>12</xdr:col>
                    <xdr:colOff>1327150</xdr:colOff>
                    <xdr:row>24</xdr:row>
                    <xdr:rowOff>209550</xdr:rowOff>
                  </to>
                </anchor>
              </controlPr>
            </control>
          </mc:Choice>
        </mc:AlternateContent>
        <mc:AlternateContent xmlns:mc="http://schemas.openxmlformats.org/markup-compatibility/2006">
          <mc:Choice Requires="x14">
            <control shapeId="25609" r:id="rId8" name="Check Box 9">
              <controlPr defaultSize="0" autoFill="0" autoLine="0" autoPict="0">
                <anchor moveWithCells="1">
                  <from>
                    <xdr:col>12</xdr:col>
                    <xdr:colOff>95250</xdr:colOff>
                    <xdr:row>25</xdr:row>
                    <xdr:rowOff>6350</xdr:rowOff>
                  </from>
                  <to>
                    <xdr:col>12</xdr:col>
                    <xdr:colOff>774700</xdr:colOff>
                    <xdr:row>25</xdr:row>
                    <xdr:rowOff>209550</xdr:rowOff>
                  </to>
                </anchor>
              </controlPr>
            </control>
          </mc:Choice>
        </mc:AlternateContent>
        <mc:AlternateContent xmlns:mc="http://schemas.openxmlformats.org/markup-compatibility/2006">
          <mc:Choice Requires="x14">
            <control shapeId="25612" r:id="rId9" name="Check Box 12">
              <controlPr defaultSize="0" autoFill="0" autoLine="0" autoPict="0">
                <anchor moveWithCells="1">
                  <from>
                    <xdr:col>12</xdr:col>
                    <xdr:colOff>95250</xdr:colOff>
                    <xdr:row>34</xdr:row>
                    <xdr:rowOff>171450</xdr:rowOff>
                  </from>
                  <to>
                    <xdr:col>12</xdr:col>
                    <xdr:colOff>857250</xdr:colOff>
                    <xdr:row>35</xdr:row>
                    <xdr:rowOff>171450</xdr:rowOff>
                  </to>
                </anchor>
              </controlPr>
            </control>
          </mc:Choice>
        </mc:AlternateContent>
        <mc:AlternateContent xmlns:mc="http://schemas.openxmlformats.org/markup-compatibility/2006">
          <mc:Choice Requires="x14">
            <control shapeId="25613" r:id="rId10" name="Check Box 13">
              <controlPr defaultSize="0" autoFill="0" autoLine="0" autoPict="0">
                <anchor moveWithCells="1">
                  <from>
                    <xdr:col>11</xdr:col>
                    <xdr:colOff>19050</xdr:colOff>
                    <xdr:row>23</xdr:row>
                    <xdr:rowOff>6350</xdr:rowOff>
                  </from>
                  <to>
                    <xdr:col>12</xdr:col>
                    <xdr:colOff>0</xdr:colOff>
                    <xdr:row>24</xdr:row>
                    <xdr:rowOff>0</xdr:rowOff>
                  </to>
                </anchor>
              </controlPr>
            </control>
          </mc:Choice>
        </mc:AlternateContent>
        <mc:AlternateContent xmlns:mc="http://schemas.openxmlformats.org/markup-compatibility/2006">
          <mc:Choice Requires="x14">
            <control shapeId="25614" r:id="rId11" name="Check Box 14">
              <controlPr defaultSize="0" autoFill="0" autoLine="0" autoPict="0">
                <anchor moveWithCells="1">
                  <from>
                    <xdr:col>12</xdr:col>
                    <xdr:colOff>139700</xdr:colOff>
                    <xdr:row>22</xdr:row>
                    <xdr:rowOff>209550</xdr:rowOff>
                  </from>
                  <to>
                    <xdr:col>12</xdr:col>
                    <xdr:colOff>1416050</xdr:colOff>
                    <xdr:row>23</xdr:row>
                    <xdr:rowOff>203200</xdr:rowOff>
                  </to>
                </anchor>
              </controlPr>
            </control>
          </mc:Choice>
        </mc:AlternateContent>
        <mc:AlternateContent xmlns:mc="http://schemas.openxmlformats.org/markup-compatibility/2006">
          <mc:Choice Requires="x14">
            <control shapeId="25615" r:id="rId12" name="Check Box 15">
              <controlPr defaultSize="0" autoFill="0" autoLine="0" autoPict="0">
                <anchor moveWithCells="1">
                  <from>
                    <xdr:col>12</xdr:col>
                    <xdr:colOff>95250</xdr:colOff>
                    <xdr:row>32</xdr:row>
                    <xdr:rowOff>165100</xdr:rowOff>
                  </from>
                  <to>
                    <xdr:col>12</xdr:col>
                    <xdr:colOff>641350</xdr:colOff>
                    <xdr:row>34</xdr:row>
                    <xdr:rowOff>158750</xdr:rowOff>
                  </to>
                </anchor>
              </controlPr>
            </control>
          </mc:Choice>
        </mc:AlternateContent>
        <mc:AlternateContent xmlns:mc="http://schemas.openxmlformats.org/markup-compatibility/2006">
          <mc:Choice Requires="x14">
            <control shapeId="25616" r:id="rId13" name="Check Box 16">
              <controlPr defaultSize="0" autoFill="0" autoLine="0" autoPict="0">
                <anchor moveWithCells="1">
                  <from>
                    <xdr:col>12</xdr:col>
                    <xdr:colOff>95250</xdr:colOff>
                    <xdr:row>35</xdr:row>
                    <xdr:rowOff>158750</xdr:rowOff>
                  </from>
                  <to>
                    <xdr:col>12</xdr:col>
                    <xdr:colOff>762000</xdr:colOff>
                    <xdr:row>36</xdr:row>
                    <xdr:rowOff>152400</xdr:rowOff>
                  </to>
                </anchor>
              </controlPr>
            </control>
          </mc:Choice>
        </mc:AlternateContent>
        <mc:AlternateContent xmlns:mc="http://schemas.openxmlformats.org/markup-compatibility/2006">
          <mc:Choice Requires="x14">
            <control shapeId="25617" r:id="rId14" name="Check Box 17">
              <controlPr defaultSize="0" autoFill="0" autoLine="0" autoPict="0">
                <anchor moveWithCells="1">
                  <from>
                    <xdr:col>12</xdr:col>
                    <xdr:colOff>95250</xdr:colOff>
                    <xdr:row>36</xdr:row>
                    <xdr:rowOff>152400</xdr:rowOff>
                  </from>
                  <to>
                    <xdr:col>12</xdr:col>
                    <xdr:colOff>781050</xdr:colOff>
                    <xdr:row>38</xdr:row>
                    <xdr:rowOff>6350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CEEC-A834-4481-B6EF-FF87F01F07A6}">
  <dimension ref="A1:M40"/>
  <sheetViews>
    <sheetView zoomScaleNormal="100" workbookViewId="0">
      <selection activeCell="K15" sqref="K15"/>
    </sheetView>
  </sheetViews>
  <sheetFormatPr defaultColWidth="9" defaultRowHeight="13" x14ac:dyDescent="0.2"/>
  <cols>
    <col min="1" max="5" width="6.90625" style="196" customWidth="1"/>
    <col min="6" max="7" width="10.36328125" style="196" customWidth="1"/>
    <col min="8" max="9" width="8.90625" style="196" customWidth="1"/>
    <col min="10" max="16384" width="9" style="196"/>
  </cols>
  <sheetData>
    <row r="1" spans="1:13" ht="21" customHeight="1" x14ac:dyDescent="0.2">
      <c r="D1" s="334" t="s">
        <v>411</v>
      </c>
      <c r="E1" s="334"/>
      <c r="F1" s="334"/>
      <c r="G1" s="334"/>
    </row>
    <row r="2" spans="1:13" ht="21" customHeight="1" x14ac:dyDescent="0.2">
      <c r="D2" s="334"/>
      <c r="E2" s="334"/>
      <c r="F2" s="334"/>
      <c r="G2" s="334"/>
    </row>
    <row r="3" spans="1:13" ht="6" customHeight="1" x14ac:dyDescent="0.2"/>
    <row r="4" spans="1:13" x14ac:dyDescent="0.2">
      <c r="G4" s="196" t="s">
        <v>412</v>
      </c>
      <c r="H4" s="335">
        <f ca="1">NOW()</f>
        <v>46176.343007291667</v>
      </c>
      <c r="I4" s="335"/>
    </row>
    <row r="5" spans="1:13" ht="16.5" x14ac:dyDescent="0.2">
      <c r="A5" s="197" t="s">
        <v>454</v>
      </c>
      <c r="B5" s="197"/>
      <c r="H5" s="339"/>
      <c r="I5" s="339"/>
      <c r="K5"/>
    </row>
    <row r="6" spans="1:13" ht="16.5" x14ac:dyDescent="0.2">
      <c r="C6" s="197" t="s">
        <v>455</v>
      </c>
      <c r="K6"/>
    </row>
    <row r="7" spans="1:13" x14ac:dyDescent="0.2">
      <c r="F7"/>
      <c r="K7" s="198"/>
    </row>
    <row r="8" spans="1:13" x14ac:dyDescent="0.2">
      <c r="F8" s="199"/>
      <c r="G8" s="199" t="s">
        <v>413</v>
      </c>
      <c r="K8"/>
    </row>
    <row r="9" spans="1:13" x14ac:dyDescent="0.2">
      <c r="F9" s="199"/>
      <c r="G9" s="199" t="s">
        <v>414</v>
      </c>
      <c r="K9"/>
    </row>
    <row r="10" spans="1:13" x14ac:dyDescent="0.2">
      <c r="F10" s="199"/>
      <c r="G10" s="199" t="s">
        <v>445</v>
      </c>
      <c r="K10"/>
    </row>
    <row r="11" spans="1:13" x14ac:dyDescent="0.2">
      <c r="F11" s="199"/>
      <c r="G11" s="199" t="s">
        <v>457</v>
      </c>
      <c r="K11" s="335"/>
      <c r="L11" s="335"/>
      <c r="M11" s="335"/>
    </row>
    <row r="12" spans="1:13" x14ac:dyDescent="0.2">
      <c r="F12" s="199"/>
      <c r="G12" s="199" t="s">
        <v>415</v>
      </c>
    </row>
    <row r="13" spans="1:13" x14ac:dyDescent="0.2">
      <c r="A13" s="196" t="s">
        <v>416</v>
      </c>
      <c r="F13" s="199"/>
      <c r="G13" s="199" t="s">
        <v>417</v>
      </c>
    </row>
    <row r="14" spans="1:13" x14ac:dyDescent="0.2">
      <c r="F14" s="199"/>
      <c r="G14" s="199" t="s">
        <v>456</v>
      </c>
    </row>
    <row r="15" spans="1:13" ht="13.5" thickBot="1" x14ac:dyDescent="0.25"/>
    <row r="16" spans="1:13" ht="22.5" customHeight="1" x14ac:dyDescent="0.2">
      <c r="A16" s="200" t="s">
        <v>418</v>
      </c>
      <c r="B16" s="357" t="s">
        <v>419</v>
      </c>
      <c r="C16" s="357"/>
      <c r="D16" s="357"/>
      <c r="E16" s="357"/>
      <c r="F16" s="357"/>
      <c r="G16" s="357"/>
      <c r="H16" s="358" t="s">
        <v>420</v>
      </c>
      <c r="I16" s="359"/>
    </row>
    <row r="17" spans="1:9" ht="22.5" customHeight="1" x14ac:dyDescent="0.2">
      <c r="A17" s="201">
        <f ca="1">NOW()</f>
        <v>46176.343007291667</v>
      </c>
      <c r="B17" s="331" t="str">
        <f>IF(入力画面!H2="","",入力画面!H2)</f>
        <v xml:space="preserve">	ハーモニーテラス生野西</v>
      </c>
      <c r="C17" s="332"/>
      <c r="D17" s="332"/>
      <c r="E17" s="332"/>
      <c r="F17" s="332" t="s">
        <v>453</v>
      </c>
      <c r="G17" s="333"/>
      <c r="H17" s="341"/>
      <c r="I17" s="342"/>
    </row>
    <row r="18" spans="1:9" ht="22.5" customHeight="1" x14ac:dyDescent="0.2">
      <c r="A18" s="202"/>
      <c r="B18" s="340"/>
      <c r="C18" s="340"/>
      <c r="D18" s="340"/>
      <c r="E18" s="340"/>
      <c r="F18" s="340"/>
      <c r="G18" s="340"/>
      <c r="H18" s="341"/>
      <c r="I18" s="342"/>
    </row>
    <row r="19" spans="1:9" ht="22.5" customHeight="1" x14ac:dyDescent="0.2">
      <c r="A19" s="202"/>
      <c r="B19" s="340"/>
      <c r="C19" s="340"/>
      <c r="D19" s="340"/>
      <c r="E19" s="340"/>
      <c r="F19" s="340"/>
      <c r="G19" s="340"/>
      <c r="H19" s="343" t="str">
        <f>IF(B19="","",#REF!*#REF!)</f>
        <v/>
      </c>
      <c r="I19" s="344"/>
    </row>
    <row r="20" spans="1:9" ht="22.5" customHeight="1" x14ac:dyDescent="0.2">
      <c r="A20" s="202"/>
      <c r="B20" s="340"/>
      <c r="C20" s="340"/>
      <c r="D20" s="340"/>
      <c r="E20" s="340"/>
      <c r="F20" s="340"/>
      <c r="G20" s="340"/>
      <c r="H20" s="343" t="str">
        <f>IF(B20="","",#REF!*#REF!)</f>
        <v/>
      </c>
      <c r="I20" s="344"/>
    </row>
    <row r="21" spans="1:9" ht="22.5" customHeight="1" x14ac:dyDescent="0.2">
      <c r="A21" s="202"/>
      <c r="B21" s="340"/>
      <c r="C21" s="340"/>
      <c r="D21" s="340"/>
      <c r="E21" s="340"/>
      <c r="F21" s="340"/>
      <c r="G21" s="340"/>
      <c r="H21" s="343" t="str">
        <f>IF(B21="","",#REF!*#REF!)</f>
        <v/>
      </c>
      <c r="I21" s="344"/>
    </row>
    <row r="22" spans="1:9" ht="22.5" customHeight="1" x14ac:dyDescent="0.2">
      <c r="A22" s="202"/>
      <c r="B22" s="340"/>
      <c r="C22" s="340"/>
      <c r="D22" s="340"/>
      <c r="E22" s="340"/>
      <c r="F22" s="340"/>
      <c r="G22" s="340"/>
      <c r="H22" s="343" t="str">
        <f>IF(B22="","",#REF!*#REF!)</f>
        <v/>
      </c>
      <c r="I22" s="344"/>
    </row>
    <row r="23" spans="1:9" ht="22.5" customHeight="1" x14ac:dyDescent="0.2">
      <c r="A23" s="202"/>
      <c r="B23" s="340"/>
      <c r="C23" s="340"/>
      <c r="D23" s="340"/>
      <c r="E23" s="340"/>
      <c r="F23" s="340"/>
      <c r="G23" s="340"/>
      <c r="H23" s="343" t="str">
        <f>IF(B23="","",#REF!*#REF!)</f>
        <v/>
      </c>
      <c r="I23" s="344"/>
    </row>
    <row r="24" spans="1:9" ht="22.5" customHeight="1" x14ac:dyDescent="0.2">
      <c r="A24" s="202"/>
      <c r="B24" s="340"/>
      <c r="C24" s="340"/>
      <c r="D24" s="340"/>
      <c r="E24" s="340"/>
      <c r="F24" s="340"/>
      <c r="G24" s="340"/>
      <c r="H24" s="343" t="str">
        <f>IF(B24="","",#REF!*#REF!)</f>
        <v/>
      </c>
      <c r="I24" s="344"/>
    </row>
    <row r="25" spans="1:9" ht="22.5" customHeight="1" x14ac:dyDescent="0.2">
      <c r="A25" s="202"/>
      <c r="B25" s="340"/>
      <c r="C25" s="340"/>
      <c r="D25" s="340"/>
      <c r="E25" s="340"/>
      <c r="F25" s="340"/>
      <c r="G25" s="340"/>
      <c r="H25" s="343" t="str">
        <f>IF(B25="","",#REF!*#REF!)</f>
        <v/>
      </c>
      <c r="I25" s="344"/>
    </row>
    <row r="26" spans="1:9" ht="22.5" customHeight="1" thickBot="1" x14ac:dyDescent="0.25">
      <c r="A26" s="203"/>
      <c r="B26" s="336"/>
      <c r="C26" s="336"/>
      <c r="D26" s="336"/>
      <c r="E26" s="336"/>
      <c r="F26" s="336"/>
      <c r="G26" s="336"/>
      <c r="H26" s="337" t="str">
        <f>IF(B26="","",#REF!*#REF!)</f>
        <v/>
      </c>
      <c r="I26" s="338"/>
    </row>
    <row r="27" spans="1:9" x14ac:dyDescent="0.2">
      <c r="I27" s="204"/>
    </row>
    <row r="29" spans="1:9" ht="13.5" customHeight="1" x14ac:dyDescent="0.2">
      <c r="D29" s="345" t="s">
        <v>421</v>
      </c>
      <c r="E29" s="345"/>
      <c r="F29" s="345"/>
      <c r="G29" s="347">
        <f>SUM(H17:I26)</f>
        <v>0</v>
      </c>
      <c r="H29" s="348"/>
      <c r="I29" s="348"/>
    </row>
    <row r="30" spans="1:9" ht="13.5" customHeight="1" x14ac:dyDescent="0.2">
      <c r="D30" s="345"/>
      <c r="E30" s="345"/>
      <c r="F30" s="345"/>
      <c r="G30" s="348"/>
      <c r="H30" s="348"/>
      <c r="I30" s="348"/>
    </row>
    <row r="31" spans="1:9" ht="13.5" customHeight="1" thickBot="1" x14ac:dyDescent="0.25">
      <c r="D31" s="346"/>
      <c r="E31" s="346"/>
      <c r="F31" s="346"/>
      <c r="G31" s="349"/>
      <c r="H31" s="349"/>
      <c r="I31" s="349"/>
    </row>
    <row r="32" spans="1:9" ht="13.5" thickBot="1" x14ac:dyDescent="0.25"/>
    <row r="33" spans="2:9" x14ac:dyDescent="0.2">
      <c r="B33" s="205" t="s">
        <v>422</v>
      </c>
      <c r="C33" s="204"/>
      <c r="D33" s="204"/>
      <c r="E33" s="204"/>
      <c r="F33" s="204"/>
      <c r="G33" s="204"/>
      <c r="H33" s="206"/>
      <c r="I33" s="207"/>
    </row>
    <row r="34" spans="2:9" x14ac:dyDescent="0.2">
      <c r="B34" s="350" t="s">
        <v>458</v>
      </c>
      <c r="C34" s="351"/>
      <c r="D34" s="351"/>
      <c r="E34" s="351"/>
      <c r="F34" s="351"/>
      <c r="G34" s="351"/>
      <c r="H34" s="352"/>
      <c r="I34" s="208"/>
    </row>
    <row r="35" spans="2:9" x14ac:dyDescent="0.2">
      <c r="B35" s="353"/>
      <c r="C35" s="351"/>
      <c r="D35" s="351"/>
      <c r="E35" s="351"/>
      <c r="F35" s="351"/>
      <c r="G35" s="351"/>
      <c r="H35" s="352"/>
      <c r="I35" s="208"/>
    </row>
    <row r="36" spans="2:9" x14ac:dyDescent="0.2">
      <c r="B36" s="353"/>
      <c r="C36" s="351"/>
      <c r="D36" s="351"/>
      <c r="E36" s="351"/>
      <c r="F36" s="351"/>
      <c r="G36" s="351"/>
      <c r="H36" s="352"/>
      <c r="I36" s="208"/>
    </row>
    <row r="37" spans="2:9" x14ac:dyDescent="0.2">
      <c r="B37" s="353"/>
      <c r="C37" s="351"/>
      <c r="D37" s="351"/>
      <c r="E37" s="351"/>
      <c r="F37" s="351"/>
      <c r="G37" s="351"/>
      <c r="H37" s="352"/>
      <c r="I37" s="208"/>
    </row>
    <row r="38" spans="2:9" x14ac:dyDescent="0.2">
      <c r="B38" s="353"/>
      <c r="C38" s="351"/>
      <c r="D38" s="351"/>
      <c r="E38" s="351"/>
      <c r="F38" s="351"/>
      <c r="G38" s="351"/>
      <c r="H38" s="352"/>
      <c r="I38" s="208"/>
    </row>
    <row r="39" spans="2:9" ht="13.5" thickBot="1" x14ac:dyDescent="0.25">
      <c r="B39" s="354"/>
      <c r="C39" s="355"/>
      <c r="D39" s="355"/>
      <c r="E39" s="355"/>
      <c r="F39" s="355"/>
      <c r="G39" s="355"/>
      <c r="H39" s="356"/>
      <c r="I39" s="208"/>
    </row>
    <row r="40" spans="2:9" x14ac:dyDescent="0.2">
      <c r="I40" s="209"/>
    </row>
  </sheetData>
  <mergeCells count="30">
    <mergeCell ref="B34:H39"/>
    <mergeCell ref="K11:M11"/>
    <mergeCell ref="B16:G16"/>
    <mergeCell ref="H16:I16"/>
    <mergeCell ref="H17:I17"/>
    <mergeCell ref="H20:I20"/>
    <mergeCell ref="H21:I21"/>
    <mergeCell ref="B24:G24"/>
    <mergeCell ref="H24:I24"/>
    <mergeCell ref="B25:G25"/>
    <mergeCell ref="D29:F31"/>
    <mergeCell ref="G29:I31"/>
    <mergeCell ref="B19:G19"/>
    <mergeCell ref="H19:I19"/>
    <mergeCell ref="B20:G20"/>
    <mergeCell ref="B21:G21"/>
    <mergeCell ref="H25:I25"/>
    <mergeCell ref="B22:G22"/>
    <mergeCell ref="H22:I22"/>
    <mergeCell ref="B23:G23"/>
    <mergeCell ref="B17:E17"/>
    <mergeCell ref="F17:G17"/>
    <mergeCell ref="D1:G2"/>
    <mergeCell ref="H4:I4"/>
    <mergeCell ref="B26:G26"/>
    <mergeCell ref="H26:I26"/>
    <mergeCell ref="H5:I5"/>
    <mergeCell ref="B18:G18"/>
    <mergeCell ref="H18:I18"/>
    <mergeCell ref="H23:I23"/>
  </mergeCells>
  <phoneticPr fontId="3"/>
  <pageMargins left="0.7" right="0.7" top="0.75" bottom="0.75" header="0.3" footer="0.3"/>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04DF-D086-48B6-8714-EABD8C5FDEAE}">
  <dimension ref="A1:AO62"/>
  <sheetViews>
    <sheetView zoomScale="130" zoomScaleNormal="130" workbookViewId="0">
      <selection activeCell="K39" sqref="K39"/>
    </sheetView>
  </sheetViews>
  <sheetFormatPr defaultRowHeight="13" x14ac:dyDescent="0.2"/>
  <cols>
    <col min="1" max="41" width="1.6328125" customWidth="1"/>
  </cols>
  <sheetData>
    <row r="1" spans="1:41" ht="10" customHeight="1" x14ac:dyDescent="0.2">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3"/>
      <c r="AE1" s="153"/>
      <c r="AF1" s="153"/>
      <c r="AG1" s="153"/>
      <c r="AH1" s="153"/>
      <c r="AI1" s="153"/>
      <c r="AJ1" s="153"/>
      <c r="AK1" s="153"/>
      <c r="AL1" s="153"/>
      <c r="AM1" s="153"/>
      <c r="AN1" s="153"/>
      <c r="AO1" s="153"/>
    </row>
    <row r="2" spans="1:41" ht="10" customHeight="1" x14ac:dyDescent="0.2">
      <c r="A2" s="153"/>
      <c r="B2" s="360" t="s">
        <v>316</v>
      </c>
      <c r="C2" s="360"/>
      <c r="D2" s="360"/>
      <c r="E2" s="360"/>
      <c r="F2" s="360"/>
      <c r="G2" s="360"/>
      <c r="H2" s="360"/>
      <c r="I2" s="360"/>
      <c r="J2" s="360"/>
      <c r="K2" s="360"/>
      <c r="L2" s="360"/>
      <c r="M2" s="360"/>
      <c r="N2" s="360"/>
      <c r="O2" s="360"/>
      <c r="P2" s="360"/>
      <c r="Q2" s="360"/>
      <c r="R2" s="360"/>
      <c r="S2" s="360"/>
      <c r="T2" s="360"/>
      <c r="U2" s="360"/>
      <c r="V2" s="360"/>
      <c r="W2" s="360"/>
      <c r="X2" s="153"/>
      <c r="Y2" s="153"/>
      <c r="Z2" s="153"/>
      <c r="AA2" s="153"/>
      <c r="AB2" s="153"/>
      <c r="AC2" s="153"/>
      <c r="AD2" s="153"/>
      <c r="AE2" s="153"/>
      <c r="AF2" s="153"/>
      <c r="AG2" s="153"/>
      <c r="AH2" s="153"/>
      <c r="AI2" s="153"/>
      <c r="AJ2" s="153"/>
      <c r="AK2" s="153"/>
      <c r="AL2" s="153"/>
      <c r="AM2" s="153"/>
      <c r="AN2" s="153"/>
      <c r="AO2" s="153"/>
    </row>
    <row r="3" spans="1:41" ht="10" customHeight="1" x14ac:dyDescent="0.2">
      <c r="A3" s="153"/>
      <c r="B3" s="360"/>
      <c r="C3" s="360"/>
      <c r="D3" s="360"/>
      <c r="E3" s="360"/>
      <c r="F3" s="360"/>
      <c r="G3" s="360"/>
      <c r="H3" s="360"/>
      <c r="I3" s="360"/>
      <c r="J3" s="360"/>
      <c r="K3" s="360"/>
      <c r="L3" s="360"/>
      <c r="M3" s="360"/>
      <c r="N3" s="360"/>
      <c r="O3" s="360"/>
      <c r="P3" s="360"/>
      <c r="Q3" s="360"/>
      <c r="R3" s="360"/>
      <c r="S3" s="360"/>
      <c r="T3" s="360"/>
      <c r="U3" s="360"/>
      <c r="V3" s="360"/>
      <c r="W3" s="360"/>
      <c r="X3" s="153"/>
      <c r="Y3" s="153"/>
      <c r="Z3" s="153"/>
      <c r="AA3" s="153"/>
      <c r="AB3" s="153"/>
      <c r="AC3" s="153"/>
      <c r="AD3" s="153"/>
      <c r="AE3" s="153"/>
      <c r="AF3" s="153"/>
      <c r="AG3" s="153"/>
      <c r="AH3" s="153"/>
      <c r="AI3" s="153"/>
      <c r="AJ3" s="153"/>
      <c r="AK3" s="153"/>
      <c r="AL3" s="153"/>
      <c r="AM3" s="153"/>
      <c r="AN3" s="153"/>
      <c r="AO3" s="153"/>
    </row>
    <row r="4" spans="1:41" ht="10" customHeight="1" x14ac:dyDescent="0.2">
      <c r="A4" s="153"/>
      <c r="B4" s="361" t="s">
        <v>317</v>
      </c>
      <c r="C4" s="361"/>
      <c r="D4" s="361"/>
      <c r="E4" s="361"/>
      <c r="F4" s="361"/>
      <c r="G4" s="361"/>
      <c r="H4" s="361"/>
      <c r="I4" s="361"/>
      <c r="J4" s="361"/>
      <c r="K4" s="361"/>
      <c r="L4" s="361"/>
      <c r="M4" s="361"/>
      <c r="N4" s="361"/>
      <c r="O4" s="361"/>
      <c r="P4" s="361"/>
      <c r="Q4" s="361"/>
      <c r="R4" s="361"/>
      <c r="S4" s="361"/>
      <c r="T4" s="361"/>
      <c r="U4" s="361"/>
      <c r="V4" s="361"/>
      <c r="W4" s="361"/>
      <c r="X4" s="361"/>
      <c r="Y4" s="361"/>
      <c r="Z4" s="361"/>
      <c r="AA4" s="361"/>
      <c r="AB4" s="361"/>
      <c r="AC4" s="361"/>
      <c r="AD4" s="361"/>
      <c r="AE4" s="361"/>
      <c r="AF4" s="361"/>
      <c r="AG4" s="361"/>
      <c r="AH4" s="361"/>
      <c r="AI4" s="361"/>
      <c r="AJ4" s="153"/>
      <c r="AK4" s="153"/>
      <c r="AL4" s="153"/>
      <c r="AM4" s="153"/>
      <c r="AN4" s="153"/>
      <c r="AO4" s="153"/>
    </row>
    <row r="5" spans="1:41" ht="10" customHeight="1" x14ac:dyDescent="0.2">
      <c r="A5" s="153"/>
      <c r="B5" s="361" t="s">
        <v>318</v>
      </c>
      <c r="C5" s="361"/>
      <c r="D5" s="361"/>
      <c r="E5" s="361"/>
      <c r="F5" s="361"/>
      <c r="G5" s="361"/>
      <c r="H5" s="361"/>
      <c r="I5" s="361"/>
      <c r="J5" s="361"/>
      <c r="K5" s="361"/>
      <c r="L5" s="361"/>
      <c r="M5" s="361"/>
      <c r="N5" s="361"/>
      <c r="O5" s="361"/>
      <c r="P5" s="361"/>
      <c r="Q5" s="361"/>
      <c r="R5" s="361"/>
      <c r="S5" s="361"/>
      <c r="T5" s="361"/>
      <c r="U5" s="361"/>
      <c r="V5" s="361"/>
      <c r="W5" s="361"/>
      <c r="X5" s="361"/>
      <c r="Y5" s="361"/>
      <c r="Z5" s="361"/>
      <c r="AA5" s="361"/>
      <c r="AB5" s="361"/>
      <c r="AC5" s="361"/>
      <c r="AD5" s="361"/>
      <c r="AE5" s="361"/>
      <c r="AF5" s="361"/>
      <c r="AG5" s="361"/>
      <c r="AH5" s="361"/>
      <c r="AI5" s="361"/>
      <c r="AJ5" s="153"/>
      <c r="AK5" s="153"/>
      <c r="AL5" s="153"/>
      <c r="AM5" s="153"/>
      <c r="AN5" s="153"/>
      <c r="AO5" s="153"/>
    </row>
    <row r="6" spans="1:41" ht="10" customHeight="1" x14ac:dyDescent="0.2">
      <c r="A6" s="153"/>
      <c r="B6" s="153"/>
      <c r="C6" s="153"/>
      <c r="D6" s="153"/>
      <c r="E6" s="153"/>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row>
    <row r="7" spans="1:41" ht="10" customHeight="1" x14ac:dyDescent="0.2">
      <c r="A7" s="153"/>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row>
    <row r="8" spans="1:41" ht="10" customHeight="1" x14ac:dyDescent="0.2">
      <c r="A8" s="153"/>
      <c r="B8" s="153"/>
      <c r="C8" s="362" t="s">
        <v>319</v>
      </c>
      <c r="D8" s="363"/>
      <c r="E8" s="363"/>
      <c r="F8" s="363"/>
      <c r="G8" s="363"/>
      <c r="H8" s="363"/>
      <c r="I8" s="363"/>
      <c r="J8" s="363"/>
      <c r="K8" s="363"/>
      <c r="L8" s="363"/>
      <c r="M8" s="363"/>
      <c r="N8" s="363"/>
      <c r="O8" s="364"/>
      <c r="P8" s="153"/>
      <c r="Q8" s="361" t="s">
        <v>320</v>
      </c>
      <c r="R8" s="361"/>
      <c r="S8" s="361"/>
      <c r="T8" s="361"/>
      <c r="U8" s="361"/>
      <c r="V8" s="361"/>
      <c r="W8" s="361"/>
      <c r="X8" s="361"/>
      <c r="Y8" s="361"/>
      <c r="Z8" s="361"/>
      <c r="AA8" s="361"/>
      <c r="AB8" s="361"/>
      <c r="AC8" s="361"/>
      <c r="AD8" s="361"/>
      <c r="AE8" s="361"/>
      <c r="AF8" s="361"/>
      <c r="AG8" s="361"/>
      <c r="AH8" s="361"/>
      <c r="AI8" s="361"/>
      <c r="AJ8" s="361"/>
      <c r="AK8" s="361"/>
      <c r="AL8" s="361"/>
      <c r="AM8" s="361"/>
      <c r="AN8" s="361"/>
      <c r="AO8" s="153"/>
    </row>
    <row r="9" spans="1:41" ht="10" customHeight="1" x14ac:dyDescent="0.2">
      <c r="A9" s="153"/>
      <c r="B9" s="153"/>
      <c r="C9" s="365" t="s">
        <v>321</v>
      </c>
      <c r="D9" s="365"/>
      <c r="E9" s="365"/>
      <c r="F9" s="365"/>
      <c r="G9" s="365"/>
      <c r="H9" s="365"/>
      <c r="I9" s="365"/>
      <c r="J9" s="365"/>
      <c r="K9" s="366" t="s">
        <v>322</v>
      </c>
      <c r="L9" s="366"/>
      <c r="M9" s="366"/>
      <c r="N9" s="154">
        <v>1</v>
      </c>
      <c r="O9" s="155" t="s">
        <v>323</v>
      </c>
      <c r="P9" s="153"/>
      <c r="Q9" s="361" t="s">
        <v>324</v>
      </c>
      <c r="R9" s="361"/>
      <c r="S9" s="361"/>
      <c r="T9" s="361"/>
      <c r="U9" s="361"/>
      <c r="V9" s="361"/>
      <c r="W9" s="361"/>
      <c r="X9" s="361"/>
      <c r="Y9" s="361"/>
      <c r="Z9" s="361"/>
      <c r="AA9" s="361"/>
      <c r="AB9" s="361"/>
      <c r="AC9" s="361"/>
      <c r="AD9" s="361"/>
      <c r="AE9" s="361"/>
      <c r="AF9" s="361"/>
      <c r="AG9" s="361"/>
      <c r="AH9" s="361"/>
      <c r="AI9" s="361"/>
      <c r="AJ9" s="361"/>
      <c r="AK9" s="361"/>
      <c r="AL9" s="361"/>
      <c r="AM9" s="361"/>
      <c r="AN9" s="361"/>
      <c r="AO9" s="153"/>
    </row>
    <row r="10" spans="1:41" ht="10" customHeight="1" x14ac:dyDescent="0.2">
      <c r="A10" s="153"/>
      <c r="B10" s="153"/>
      <c r="C10" s="365" t="s">
        <v>325</v>
      </c>
      <c r="D10" s="365"/>
      <c r="E10" s="365"/>
      <c r="F10" s="365"/>
      <c r="G10" s="365"/>
      <c r="H10" s="365"/>
      <c r="I10" s="365"/>
      <c r="J10" s="365"/>
      <c r="K10" s="366" t="s">
        <v>322</v>
      </c>
      <c r="L10" s="366"/>
      <c r="M10" s="366"/>
      <c r="N10" s="154">
        <v>1</v>
      </c>
      <c r="O10" s="155" t="s">
        <v>326</v>
      </c>
      <c r="P10" s="153"/>
      <c r="Q10" s="361"/>
      <c r="R10" s="361"/>
      <c r="S10" s="361"/>
      <c r="T10" s="361"/>
      <c r="U10" s="361"/>
      <c r="V10" s="361"/>
      <c r="W10" s="361"/>
      <c r="X10" s="361"/>
      <c r="Y10" s="361"/>
      <c r="Z10" s="361"/>
      <c r="AA10" s="361"/>
      <c r="AB10" s="361"/>
      <c r="AC10" s="361"/>
      <c r="AD10" s="361"/>
      <c r="AE10" s="361"/>
      <c r="AF10" s="361"/>
      <c r="AG10" s="361"/>
      <c r="AH10" s="361"/>
      <c r="AI10" s="361"/>
      <c r="AJ10" s="361"/>
      <c r="AK10" s="361"/>
      <c r="AL10" s="361"/>
      <c r="AM10" s="361"/>
      <c r="AN10" s="361"/>
      <c r="AO10" s="153"/>
    </row>
    <row r="11" spans="1:41" ht="10" customHeight="1" x14ac:dyDescent="0.2">
      <c r="A11" s="153"/>
      <c r="B11" s="153"/>
      <c r="C11" s="365" t="s">
        <v>327</v>
      </c>
      <c r="D11" s="365"/>
      <c r="E11" s="365"/>
      <c r="F11" s="365"/>
      <c r="G11" s="365"/>
      <c r="H11" s="365"/>
      <c r="I11" s="365"/>
      <c r="J11" s="365"/>
      <c r="K11" s="366" t="s">
        <v>322</v>
      </c>
      <c r="L11" s="366"/>
      <c r="M11" s="366"/>
      <c r="N11" s="154">
        <v>1</v>
      </c>
      <c r="O11" s="155" t="s">
        <v>323</v>
      </c>
      <c r="P11" s="153"/>
      <c r="Q11" s="361" t="s">
        <v>328</v>
      </c>
      <c r="R11" s="361"/>
      <c r="S11" s="361"/>
      <c r="T11" s="361"/>
      <c r="U11" s="361"/>
      <c r="V11" s="361"/>
      <c r="W11" s="361"/>
      <c r="X11" s="361"/>
      <c r="Y11" s="361"/>
      <c r="Z11" s="361"/>
      <c r="AA11" s="361"/>
      <c r="AB11" s="361"/>
      <c r="AC11" s="361"/>
      <c r="AD11" s="361"/>
      <c r="AE11" s="361"/>
      <c r="AF11" s="361"/>
      <c r="AG11" s="361"/>
      <c r="AH11" s="361"/>
      <c r="AI11" s="361"/>
      <c r="AJ11" s="361"/>
      <c r="AK11" s="361"/>
      <c r="AL11" s="361"/>
      <c r="AM11" s="361"/>
      <c r="AN11" s="361"/>
      <c r="AO11" s="153"/>
    </row>
    <row r="12" spans="1:41" ht="10" customHeight="1" x14ac:dyDescent="0.2">
      <c r="A12" s="153"/>
      <c r="B12" s="153"/>
      <c r="C12" s="365" t="s">
        <v>329</v>
      </c>
      <c r="D12" s="365"/>
      <c r="E12" s="365"/>
      <c r="F12" s="365"/>
      <c r="G12" s="365"/>
      <c r="H12" s="365"/>
      <c r="I12" s="365"/>
      <c r="J12" s="365"/>
      <c r="K12" s="366" t="s">
        <v>330</v>
      </c>
      <c r="L12" s="366"/>
      <c r="M12" s="366"/>
      <c r="N12" s="154">
        <v>1</v>
      </c>
      <c r="O12" s="155" t="s">
        <v>323</v>
      </c>
      <c r="P12" s="153"/>
      <c r="Q12" s="367" t="s">
        <v>331</v>
      </c>
      <c r="R12" s="361"/>
      <c r="S12" s="361"/>
      <c r="T12" s="361"/>
      <c r="U12" s="361"/>
      <c r="V12" s="361"/>
      <c r="W12" s="361"/>
      <c r="X12" s="361"/>
      <c r="Y12" s="361"/>
      <c r="Z12" s="361"/>
      <c r="AA12" s="361"/>
      <c r="AB12" s="361"/>
      <c r="AC12" s="361"/>
      <c r="AD12" s="361"/>
      <c r="AE12" s="361"/>
      <c r="AF12" s="361"/>
      <c r="AG12" s="361"/>
      <c r="AH12" s="361"/>
      <c r="AI12" s="361"/>
      <c r="AJ12" s="361"/>
      <c r="AK12" s="361"/>
      <c r="AL12" s="361"/>
      <c r="AM12" s="361"/>
      <c r="AN12" s="361"/>
      <c r="AO12" s="153"/>
    </row>
    <row r="13" spans="1:41" ht="10" customHeight="1" x14ac:dyDescent="0.2">
      <c r="A13" s="153"/>
      <c r="B13" s="153"/>
      <c r="C13" s="365" t="s">
        <v>327</v>
      </c>
      <c r="D13" s="365"/>
      <c r="E13" s="365"/>
      <c r="F13" s="365"/>
      <c r="G13" s="365"/>
      <c r="H13" s="365"/>
      <c r="I13" s="365"/>
      <c r="J13" s="365"/>
      <c r="K13" s="366" t="s">
        <v>330</v>
      </c>
      <c r="L13" s="366"/>
      <c r="M13" s="366"/>
      <c r="N13" s="154">
        <v>1</v>
      </c>
      <c r="O13" s="155" t="s">
        <v>323</v>
      </c>
      <c r="P13" s="153"/>
      <c r="Q13" s="361" t="s">
        <v>332</v>
      </c>
      <c r="R13" s="361"/>
      <c r="S13" s="361"/>
      <c r="T13" s="361"/>
      <c r="U13" s="361"/>
      <c r="V13" s="361"/>
      <c r="W13" s="361"/>
      <c r="X13" s="361"/>
      <c r="Y13" s="361"/>
      <c r="Z13" s="361"/>
      <c r="AA13" s="361"/>
      <c r="AB13" s="361"/>
      <c r="AC13" s="361"/>
      <c r="AD13" s="361"/>
      <c r="AE13" s="361"/>
      <c r="AF13" s="361"/>
      <c r="AG13" s="361"/>
      <c r="AH13" s="361"/>
      <c r="AI13" s="361"/>
      <c r="AJ13" s="361"/>
      <c r="AK13" s="361"/>
      <c r="AL13" s="361"/>
      <c r="AM13" s="361"/>
      <c r="AN13" s="361"/>
      <c r="AO13" s="153"/>
    </row>
    <row r="14" spans="1:41" ht="10" customHeight="1" x14ac:dyDescent="0.2">
      <c r="A14" s="153"/>
      <c r="B14" s="153"/>
      <c r="C14" s="365"/>
      <c r="D14" s="365"/>
      <c r="E14" s="365"/>
      <c r="F14" s="365"/>
      <c r="G14" s="365"/>
      <c r="H14" s="365"/>
      <c r="I14" s="365"/>
      <c r="J14" s="365"/>
      <c r="K14" s="366"/>
      <c r="L14" s="366"/>
      <c r="M14" s="366"/>
      <c r="N14" s="154"/>
      <c r="O14" s="155"/>
      <c r="P14" s="153"/>
      <c r="Q14" s="361" t="s">
        <v>333</v>
      </c>
      <c r="R14" s="361"/>
      <c r="S14" s="361"/>
      <c r="T14" s="361"/>
      <c r="U14" s="361"/>
      <c r="V14" s="361"/>
      <c r="W14" s="361"/>
      <c r="X14" s="361"/>
      <c r="Y14" s="361"/>
      <c r="Z14" s="361"/>
      <c r="AA14" s="361"/>
      <c r="AB14" s="361"/>
      <c r="AC14" s="361"/>
      <c r="AD14" s="361"/>
      <c r="AE14" s="361"/>
      <c r="AF14" s="361"/>
      <c r="AG14" s="361"/>
      <c r="AH14" s="361"/>
      <c r="AI14" s="361"/>
      <c r="AJ14" s="361"/>
      <c r="AK14" s="361"/>
      <c r="AL14" s="361"/>
      <c r="AM14" s="361"/>
      <c r="AN14" s="361"/>
      <c r="AO14" s="153"/>
    </row>
    <row r="15" spans="1:41" ht="10" customHeight="1" x14ac:dyDescent="0.2">
      <c r="A15" s="153"/>
      <c r="B15" s="153"/>
      <c r="C15" s="365"/>
      <c r="D15" s="365"/>
      <c r="E15" s="365"/>
      <c r="F15" s="365"/>
      <c r="G15" s="365"/>
      <c r="H15" s="365"/>
      <c r="I15" s="365"/>
      <c r="J15" s="365"/>
      <c r="K15" s="366"/>
      <c r="L15" s="366"/>
      <c r="M15" s="366"/>
      <c r="N15" s="154"/>
      <c r="O15" s="155"/>
      <c r="P15" s="153"/>
      <c r="Q15" s="361" t="s">
        <v>334</v>
      </c>
      <c r="R15" s="361"/>
      <c r="S15" s="361"/>
      <c r="T15" s="361"/>
      <c r="U15" s="361"/>
      <c r="V15" s="361"/>
      <c r="W15" s="361"/>
      <c r="X15" s="361"/>
      <c r="Y15" s="361"/>
      <c r="Z15" s="361"/>
      <c r="AA15" s="361"/>
      <c r="AB15" s="361"/>
      <c r="AC15" s="361"/>
      <c r="AD15" s="361"/>
      <c r="AE15" s="361"/>
      <c r="AF15" s="361"/>
      <c r="AG15" s="361"/>
      <c r="AH15" s="361"/>
      <c r="AI15" s="361"/>
      <c r="AJ15" s="361"/>
      <c r="AK15" s="361"/>
      <c r="AL15" s="361"/>
      <c r="AM15" s="361"/>
      <c r="AN15" s="361"/>
      <c r="AO15" s="153"/>
    </row>
    <row r="16" spans="1:41" ht="10" customHeight="1" x14ac:dyDescent="0.2">
      <c r="A16" s="153"/>
      <c r="B16" s="153"/>
      <c r="C16" s="365"/>
      <c r="D16" s="365"/>
      <c r="E16" s="365"/>
      <c r="F16" s="365"/>
      <c r="G16" s="365"/>
      <c r="H16" s="365"/>
      <c r="I16" s="365"/>
      <c r="J16" s="365"/>
      <c r="K16" s="366"/>
      <c r="L16" s="366"/>
      <c r="M16" s="366"/>
      <c r="N16" s="154"/>
      <c r="O16" s="155"/>
      <c r="P16" s="153"/>
      <c r="Q16" s="369" t="s">
        <v>335</v>
      </c>
      <c r="R16" s="369"/>
      <c r="S16" s="369"/>
      <c r="T16" s="369"/>
      <c r="U16" s="369"/>
      <c r="V16" s="369"/>
      <c r="W16" s="369"/>
      <c r="X16" s="369"/>
      <c r="Y16" s="369"/>
      <c r="Z16" s="369"/>
      <c r="AA16" s="369"/>
      <c r="AB16" s="369"/>
      <c r="AC16" s="369"/>
      <c r="AD16" s="369"/>
      <c r="AE16" s="369"/>
      <c r="AF16" s="369"/>
      <c r="AG16" s="369"/>
      <c r="AH16" s="369"/>
      <c r="AI16" s="369"/>
      <c r="AJ16" s="369"/>
      <c r="AK16" s="369"/>
      <c r="AL16" s="369"/>
      <c r="AM16" s="369"/>
      <c r="AN16" s="369"/>
      <c r="AO16" s="153"/>
    </row>
    <row r="17" spans="1:41" ht="10" customHeight="1" x14ac:dyDescent="0.2">
      <c r="A17" s="153"/>
      <c r="B17" s="153"/>
      <c r="C17" s="365"/>
      <c r="D17" s="365"/>
      <c r="E17" s="365"/>
      <c r="F17" s="365"/>
      <c r="G17" s="365"/>
      <c r="H17" s="365"/>
      <c r="I17" s="365"/>
      <c r="J17" s="365"/>
      <c r="K17" s="366"/>
      <c r="L17" s="366"/>
      <c r="M17" s="366"/>
      <c r="N17" s="154"/>
      <c r="O17" s="155"/>
      <c r="P17" s="153"/>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153"/>
    </row>
    <row r="18" spans="1:41" ht="10" customHeight="1" x14ac:dyDescent="0.2">
      <c r="A18" s="153"/>
      <c r="B18" s="153"/>
      <c r="C18" s="365"/>
      <c r="D18" s="365"/>
      <c r="E18" s="365"/>
      <c r="F18" s="365"/>
      <c r="G18" s="365"/>
      <c r="H18" s="365"/>
      <c r="I18" s="365"/>
      <c r="J18" s="365"/>
      <c r="K18" s="366"/>
      <c r="L18" s="366"/>
      <c r="M18" s="366"/>
      <c r="N18" s="154"/>
      <c r="O18" s="155"/>
      <c r="P18" s="153"/>
      <c r="Q18" s="361" t="s">
        <v>336</v>
      </c>
      <c r="R18" s="361"/>
      <c r="S18" s="361"/>
      <c r="T18" s="361"/>
      <c r="U18" s="361"/>
      <c r="V18" s="361"/>
      <c r="W18" s="361"/>
      <c r="X18" s="361"/>
      <c r="Y18" s="361"/>
      <c r="Z18" s="361"/>
      <c r="AA18" s="361"/>
      <c r="AB18" s="361"/>
      <c r="AC18" s="361"/>
      <c r="AD18" s="361"/>
      <c r="AE18" s="361"/>
      <c r="AF18" s="361"/>
      <c r="AG18" s="361"/>
      <c r="AH18" s="361"/>
      <c r="AI18" s="361"/>
      <c r="AJ18" s="361"/>
      <c r="AK18" s="361"/>
      <c r="AL18" s="361"/>
      <c r="AM18" s="361"/>
      <c r="AN18" s="361"/>
      <c r="AO18" s="153"/>
    </row>
    <row r="19" spans="1:41" ht="10" customHeight="1" x14ac:dyDescent="0.2">
      <c r="A19" s="153"/>
      <c r="B19" s="153"/>
      <c r="C19" s="365"/>
      <c r="D19" s="365"/>
      <c r="E19" s="365"/>
      <c r="F19" s="365"/>
      <c r="G19" s="365"/>
      <c r="H19" s="365"/>
      <c r="I19" s="365"/>
      <c r="J19" s="365"/>
      <c r="K19" s="366"/>
      <c r="L19" s="366"/>
      <c r="M19" s="366"/>
      <c r="N19" s="154"/>
      <c r="O19" s="155"/>
      <c r="P19" s="153"/>
      <c r="Q19" s="361" t="s">
        <v>337</v>
      </c>
      <c r="R19" s="361"/>
      <c r="S19" s="361"/>
      <c r="T19" s="361"/>
      <c r="U19" s="361"/>
      <c r="V19" s="361"/>
      <c r="W19" s="361"/>
      <c r="X19" s="361"/>
      <c r="Y19" s="361"/>
      <c r="Z19" s="361"/>
      <c r="AA19" s="361"/>
      <c r="AB19" s="361"/>
      <c r="AC19" s="361"/>
      <c r="AD19" s="361"/>
      <c r="AE19" s="361"/>
      <c r="AF19" s="361"/>
      <c r="AG19" s="361"/>
      <c r="AH19" s="361"/>
      <c r="AI19" s="361"/>
      <c r="AJ19" s="361"/>
      <c r="AK19" s="361"/>
      <c r="AL19" s="361"/>
      <c r="AM19" s="361"/>
      <c r="AN19" s="361"/>
      <c r="AO19" s="153"/>
    </row>
    <row r="20" spans="1:41" ht="10" customHeight="1" x14ac:dyDescent="0.2">
      <c r="A20" s="153"/>
      <c r="B20" s="153"/>
      <c r="C20" s="153"/>
      <c r="D20" s="153"/>
      <c r="E20" s="153"/>
      <c r="F20" s="153"/>
      <c r="G20" s="153"/>
      <c r="H20" s="153"/>
      <c r="I20" s="153"/>
      <c r="J20" s="153"/>
      <c r="K20" s="153"/>
      <c r="L20" s="153"/>
      <c r="M20" s="153"/>
      <c r="N20" s="153"/>
      <c r="O20" s="153"/>
      <c r="P20" s="153"/>
      <c r="Q20" s="153"/>
      <c r="R20" s="153"/>
      <c r="S20" s="153"/>
      <c r="T20" s="153"/>
      <c r="U20" s="153"/>
      <c r="V20" s="153"/>
      <c r="W20" s="153"/>
      <c r="X20" s="153"/>
      <c r="Y20" s="153"/>
      <c r="Z20" s="153"/>
      <c r="AA20" s="153"/>
      <c r="AB20" s="153"/>
      <c r="AC20" s="153"/>
      <c r="AD20" s="153"/>
      <c r="AE20" s="153"/>
      <c r="AF20" s="153"/>
      <c r="AG20" s="153"/>
      <c r="AH20" s="153"/>
      <c r="AI20" s="153"/>
      <c r="AJ20" s="153"/>
      <c r="AK20" s="153"/>
      <c r="AL20" s="153"/>
      <c r="AM20" s="153"/>
      <c r="AN20" s="153"/>
      <c r="AO20" s="153"/>
    </row>
    <row r="21" spans="1:41" ht="10" customHeight="1" x14ac:dyDescent="0.2">
      <c r="A21" s="153"/>
      <c r="B21" s="153"/>
      <c r="C21" s="153"/>
      <c r="D21" s="153"/>
      <c r="E21" s="153"/>
      <c r="F21" s="153"/>
      <c r="G21" s="153"/>
      <c r="H21" s="153"/>
      <c r="I21" s="153"/>
      <c r="J21" s="153"/>
      <c r="K21" s="153"/>
      <c r="L21" s="153"/>
      <c r="M21" s="153"/>
      <c r="N21" s="153"/>
      <c r="O21" s="153"/>
      <c r="P21" s="153"/>
      <c r="Q21" s="153"/>
      <c r="R21" s="153"/>
      <c r="S21" s="153"/>
      <c r="T21" s="153"/>
      <c r="U21" s="153"/>
      <c r="V21" s="153"/>
      <c r="W21" s="153"/>
      <c r="X21" s="153"/>
      <c r="Y21" s="153"/>
      <c r="Z21" s="153"/>
      <c r="AA21" s="153"/>
      <c r="AB21" s="153"/>
      <c r="AC21" s="153"/>
      <c r="AD21" s="153"/>
      <c r="AE21" s="153"/>
      <c r="AF21" s="153"/>
      <c r="AG21" s="153"/>
      <c r="AH21" s="153"/>
      <c r="AI21" s="153"/>
      <c r="AJ21" s="153"/>
      <c r="AK21" s="153"/>
      <c r="AL21" s="153"/>
      <c r="AM21" s="153"/>
      <c r="AN21" s="153"/>
      <c r="AO21" s="153"/>
    </row>
    <row r="22" spans="1:41" ht="10" customHeight="1" x14ac:dyDescent="0.2">
      <c r="A22" s="153"/>
      <c r="B22" s="153"/>
      <c r="C22" s="370" t="s">
        <v>357</v>
      </c>
      <c r="D22" s="370"/>
      <c r="E22" s="370" t="s">
        <v>338</v>
      </c>
      <c r="F22" s="370"/>
      <c r="G22" s="370"/>
      <c r="H22" s="370"/>
      <c r="I22" s="370"/>
      <c r="J22" s="370"/>
      <c r="K22" s="371" t="s">
        <v>358</v>
      </c>
      <c r="L22" s="372"/>
      <c r="M22" s="372"/>
      <c r="N22" s="372"/>
      <c r="O22" s="373"/>
      <c r="P22" s="156"/>
      <c r="Q22" s="361" t="s">
        <v>340</v>
      </c>
      <c r="R22" s="361"/>
      <c r="S22" s="361"/>
      <c r="T22" s="361"/>
      <c r="U22" s="361"/>
      <c r="V22" s="361"/>
      <c r="W22" s="361"/>
      <c r="X22" s="361"/>
      <c r="Y22" s="361"/>
      <c r="Z22" s="361"/>
      <c r="AA22" s="361"/>
      <c r="AB22" s="361"/>
      <c r="AC22" s="361"/>
      <c r="AD22" s="361"/>
      <c r="AE22" s="361"/>
      <c r="AF22" s="361"/>
      <c r="AG22" s="361"/>
      <c r="AH22" s="361"/>
      <c r="AI22" s="361"/>
      <c r="AJ22" s="361"/>
      <c r="AK22" s="361"/>
      <c r="AL22" s="361"/>
      <c r="AM22" s="361"/>
      <c r="AN22" s="361"/>
      <c r="AO22" s="153"/>
    </row>
    <row r="23" spans="1:41" ht="10" customHeight="1" x14ac:dyDescent="0.2">
      <c r="A23" s="153"/>
      <c r="B23" s="153"/>
      <c r="C23" s="370"/>
      <c r="D23" s="370"/>
      <c r="E23" s="370"/>
      <c r="F23" s="370"/>
      <c r="G23" s="370"/>
      <c r="H23" s="370"/>
      <c r="I23" s="370"/>
      <c r="J23" s="370"/>
      <c r="K23" s="374"/>
      <c r="L23" s="375"/>
      <c r="M23" s="375"/>
      <c r="N23" s="375"/>
      <c r="O23" s="376"/>
      <c r="P23" s="156"/>
      <c r="Q23" s="153"/>
      <c r="R23" s="153"/>
      <c r="S23" s="153"/>
      <c r="T23" s="153"/>
      <c r="U23" s="153"/>
      <c r="V23" s="153"/>
      <c r="W23" s="153"/>
      <c r="X23" s="153"/>
      <c r="Y23" s="153"/>
      <c r="Z23" s="153"/>
      <c r="AA23" s="153"/>
      <c r="AB23" s="153"/>
      <c r="AC23" s="153"/>
      <c r="AD23" s="153"/>
      <c r="AE23" s="153"/>
      <c r="AF23" s="153"/>
      <c r="AG23" s="153"/>
      <c r="AH23" s="153"/>
      <c r="AI23" s="153"/>
      <c r="AJ23" s="153"/>
      <c r="AK23" s="153"/>
      <c r="AL23" s="153"/>
      <c r="AM23" s="153"/>
      <c r="AN23" s="153"/>
      <c r="AO23" s="153"/>
    </row>
    <row r="24" spans="1:41" ht="10" customHeight="1" x14ac:dyDescent="0.2">
      <c r="A24" s="153"/>
      <c r="B24" s="153"/>
      <c r="C24" s="157"/>
      <c r="D24" s="157"/>
      <c r="E24" s="157"/>
      <c r="F24" s="157"/>
      <c r="G24" s="157"/>
      <c r="H24" s="157"/>
      <c r="I24" s="157"/>
      <c r="J24" s="157"/>
      <c r="K24" s="157"/>
      <c r="L24" s="157"/>
      <c r="M24" s="157"/>
      <c r="N24" s="157"/>
      <c r="O24" s="157"/>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row>
    <row r="25" spans="1:41" ht="10" customHeight="1" x14ac:dyDescent="0.2">
      <c r="A25" s="153"/>
      <c r="B25" s="153"/>
      <c r="C25" s="370" t="s">
        <v>359</v>
      </c>
      <c r="D25" s="370"/>
      <c r="E25" s="370" t="s">
        <v>341</v>
      </c>
      <c r="F25" s="370"/>
      <c r="G25" s="370"/>
      <c r="H25" s="370"/>
      <c r="I25" s="370"/>
      <c r="J25" s="370"/>
      <c r="K25" s="371" t="s">
        <v>358</v>
      </c>
      <c r="L25" s="372"/>
      <c r="M25" s="372"/>
      <c r="N25" s="372"/>
      <c r="O25" s="373"/>
      <c r="P25" s="153"/>
      <c r="Q25" s="361" t="s">
        <v>342</v>
      </c>
      <c r="R25" s="361"/>
      <c r="S25" s="361"/>
      <c r="T25" s="361"/>
      <c r="U25" s="361"/>
      <c r="V25" s="361"/>
      <c r="W25" s="361"/>
      <c r="X25" s="361"/>
      <c r="Y25" s="361"/>
      <c r="Z25" s="361"/>
      <c r="AA25" s="361"/>
      <c r="AB25" s="361"/>
      <c r="AC25" s="361"/>
      <c r="AD25" s="361"/>
      <c r="AE25" s="361"/>
      <c r="AF25" s="361"/>
      <c r="AG25" s="361"/>
      <c r="AH25" s="361"/>
      <c r="AI25" s="361"/>
      <c r="AJ25" s="361"/>
      <c r="AK25" s="361"/>
      <c r="AL25" s="361"/>
      <c r="AM25" s="361"/>
      <c r="AN25" s="361"/>
      <c r="AO25" s="153"/>
    </row>
    <row r="26" spans="1:41" ht="10" customHeight="1" x14ac:dyDescent="0.2">
      <c r="A26" s="153"/>
      <c r="B26" s="153"/>
      <c r="C26" s="370"/>
      <c r="D26" s="370"/>
      <c r="E26" s="370"/>
      <c r="F26" s="370"/>
      <c r="G26" s="370"/>
      <c r="H26" s="370"/>
      <c r="I26" s="370"/>
      <c r="J26" s="370"/>
      <c r="K26" s="374"/>
      <c r="L26" s="375"/>
      <c r="M26" s="375"/>
      <c r="N26" s="375"/>
      <c r="O26" s="376"/>
      <c r="P26" s="153"/>
      <c r="Q26" s="361" t="s">
        <v>343</v>
      </c>
      <c r="R26" s="361"/>
      <c r="S26" s="361"/>
      <c r="T26" s="361"/>
      <c r="U26" s="361"/>
      <c r="V26" s="361"/>
      <c r="W26" s="361"/>
      <c r="X26" s="361"/>
      <c r="Y26" s="361"/>
      <c r="Z26" s="361"/>
      <c r="AA26" s="361"/>
      <c r="AB26" s="361"/>
      <c r="AC26" s="361"/>
      <c r="AD26" s="361"/>
      <c r="AE26" s="361"/>
      <c r="AF26" s="361"/>
      <c r="AG26" s="361"/>
      <c r="AH26" s="361"/>
      <c r="AI26" s="361"/>
      <c r="AJ26" s="361"/>
      <c r="AK26" s="361"/>
      <c r="AL26" s="361"/>
      <c r="AM26" s="361"/>
      <c r="AN26" s="361"/>
      <c r="AO26" s="153"/>
    </row>
    <row r="27" spans="1:41" ht="10" customHeight="1" x14ac:dyDescent="0.2">
      <c r="A27" s="153"/>
      <c r="B27" s="153"/>
      <c r="C27" s="157"/>
      <c r="D27" s="157"/>
      <c r="E27" s="157"/>
      <c r="F27" s="157"/>
      <c r="G27" s="157"/>
      <c r="H27" s="157"/>
      <c r="I27" s="157"/>
      <c r="J27" s="157"/>
      <c r="K27" s="157"/>
      <c r="L27" s="157"/>
      <c r="M27" s="157"/>
      <c r="N27" s="157"/>
      <c r="O27" s="157"/>
      <c r="P27" s="153"/>
      <c r="Q27" s="368" t="s">
        <v>363</v>
      </c>
      <c r="R27" s="368"/>
      <c r="S27" s="368"/>
      <c r="T27" s="368"/>
      <c r="U27" s="368"/>
      <c r="V27" s="368"/>
      <c r="W27" s="368"/>
      <c r="X27" s="368"/>
      <c r="Y27" s="368"/>
      <c r="Z27" s="368"/>
      <c r="AA27" s="368"/>
      <c r="AB27" s="368"/>
      <c r="AC27" s="368"/>
      <c r="AD27" s="368"/>
      <c r="AE27" s="368"/>
      <c r="AF27" s="368"/>
      <c r="AG27" s="368"/>
      <c r="AH27" s="368"/>
      <c r="AI27" s="368"/>
      <c r="AJ27" s="368"/>
      <c r="AK27" s="368"/>
      <c r="AL27" s="368"/>
      <c r="AM27" s="368"/>
      <c r="AN27" s="368"/>
      <c r="AO27" s="153"/>
    </row>
    <row r="28" spans="1:41" ht="10" customHeight="1" x14ac:dyDescent="0.2">
      <c r="A28" s="153"/>
      <c r="B28" s="153"/>
      <c r="C28" s="370" t="s">
        <v>360</v>
      </c>
      <c r="D28" s="370"/>
      <c r="E28" s="370" t="s">
        <v>440</v>
      </c>
      <c r="F28" s="370"/>
      <c r="G28" s="370"/>
      <c r="H28" s="370"/>
      <c r="I28" s="370"/>
      <c r="J28" s="370"/>
      <c r="K28" s="371" t="s">
        <v>358</v>
      </c>
      <c r="L28" s="372"/>
      <c r="M28" s="372"/>
      <c r="N28" s="372"/>
      <c r="O28" s="373"/>
      <c r="P28" s="153"/>
      <c r="Q28" s="361" t="s">
        <v>344</v>
      </c>
      <c r="R28" s="361"/>
      <c r="S28" s="361"/>
      <c r="T28" s="361"/>
      <c r="U28" s="361"/>
      <c r="V28" s="361"/>
      <c r="W28" s="361"/>
      <c r="X28" s="361"/>
      <c r="Y28" s="361"/>
      <c r="Z28" s="361"/>
      <c r="AA28" s="361"/>
      <c r="AB28" s="361"/>
      <c r="AC28" s="361"/>
      <c r="AD28" s="361"/>
      <c r="AE28" s="361"/>
      <c r="AF28" s="361"/>
      <c r="AG28" s="361"/>
      <c r="AH28" s="361"/>
      <c r="AI28" s="361"/>
      <c r="AJ28" s="361"/>
      <c r="AK28" s="361"/>
      <c r="AL28" s="361"/>
      <c r="AM28" s="361"/>
      <c r="AN28" s="361"/>
      <c r="AO28" s="153"/>
    </row>
    <row r="29" spans="1:41" ht="10" customHeight="1" x14ac:dyDescent="0.2">
      <c r="A29" s="153"/>
      <c r="B29" s="153"/>
      <c r="C29" s="370"/>
      <c r="D29" s="370"/>
      <c r="E29" s="370"/>
      <c r="F29" s="370"/>
      <c r="G29" s="370"/>
      <c r="H29" s="370"/>
      <c r="I29" s="370"/>
      <c r="J29" s="370"/>
      <c r="K29" s="374"/>
      <c r="L29" s="375"/>
      <c r="M29" s="375"/>
      <c r="N29" s="375"/>
      <c r="O29" s="376"/>
      <c r="P29" s="153"/>
      <c r="Q29" s="361" t="s">
        <v>345</v>
      </c>
      <c r="R29" s="361"/>
      <c r="S29" s="361"/>
      <c r="T29" s="361"/>
      <c r="U29" s="361"/>
      <c r="V29" s="361"/>
      <c r="W29" s="361"/>
      <c r="X29" s="361"/>
      <c r="Y29" s="361"/>
      <c r="Z29" s="361"/>
      <c r="AA29" s="361"/>
      <c r="AB29" s="361"/>
      <c r="AC29" s="361"/>
      <c r="AD29" s="361"/>
      <c r="AE29" s="361"/>
      <c r="AF29" s="361"/>
      <c r="AG29" s="361"/>
      <c r="AH29" s="361"/>
      <c r="AI29" s="361"/>
      <c r="AJ29" s="361"/>
      <c r="AK29" s="361"/>
      <c r="AL29" s="361"/>
      <c r="AM29" s="361"/>
      <c r="AN29" s="361"/>
      <c r="AO29" s="153"/>
    </row>
    <row r="30" spans="1:41" ht="10" customHeight="1" x14ac:dyDescent="0.2">
      <c r="A30" s="153"/>
      <c r="B30" s="153"/>
      <c r="C30" s="157"/>
      <c r="D30" s="157"/>
      <c r="E30" s="157"/>
      <c r="F30" s="157"/>
      <c r="G30" s="157"/>
      <c r="H30" s="157"/>
      <c r="I30" s="157"/>
      <c r="J30" s="157"/>
      <c r="K30" s="157"/>
      <c r="L30" s="157"/>
      <c r="M30" s="157"/>
      <c r="N30" s="157"/>
      <c r="O30" s="157"/>
      <c r="P30" s="153"/>
      <c r="Q30" s="377" t="s">
        <v>364</v>
      </c>
      <c r="R30" s="377"/>
      <c r="S30" s="377"/>
      <c r="T30" s="377"/>
      <c r="U30" s="377"/>
      <c r="V30" s="377"/>
      <c r="W30" s="377"/>
      <c r="X30" s="377"/>
      <c r="Y30" s="377"/>
      <c r="Z30" s="377"/>
      <c r="AA30" s="377"/>
      <c r="AB30" s="377"/>
      <c r="AC30" s="377"/>
      <c r="AD30" s="377"/>
      <c r="AE30" s="153"/>
      <c r="AF30" s="153"/>
      <c r="AG30" s="153"/>
      <c r="AH30" s="153"/>
      <c r="AI30" s="153"/>
      <c r="AJ30" s="153"/>
      <c r="AK30" s="153"/>
      <c r="AL30" s="153"/>
      <c r="AM30" s="153"/>
      <c r="AN30" s="153"/>
      <c r="AO30" s="153"/>
    </row>
    <row r="31" spans="1:41" ht="10" customHeight="1" x14ac:dyDescent="0.2">
      <c r="A31" s="153"/>
      <c r="B31" s="153"/>
      <c r="C31" s="370" t="s">
        <v>361</v>
      </c>
      <c r="D31" s="370"/>
      <c r="E31" s="370" t="s">
        <v>442</v>
      </c>
      <c r="F31" s="370"/>
      <c r="G31" s="370"/>
      <c r="H31" s="370"/>
      <c r="I31" s="370"/>
      <c r="J31" s="370"/>
      <c r="K31" s="371" t="s">
        <v>358</v>
      </c>
      <c r="L31" s="372"/>
      <c r="M31" s="372"/>
      <c r="N31" s="372"/>
      <c r="O31" s="373"/>
      <c r="P31" s="153"/>
      <c r="Q31" s="361" t="s">
        <v>346</v>
      </c>
      <c r="R31" s="361"/>
      <c r="S31" s="361"/>
      <c r="T31" s="361"/>
      <c r="U31" s="361"/>
      <c r="V31" s="361"/>
      <c r="W31" s="361"/>
      <c r="X31" s="361"/>
      <c r="Y31" s="361"/>
      <c r="Z31" s="361"/>
      <c r="AA31" s="361"/>
      <c r="AB31" s="361"/>
      <c r="AC31" s="361"/>
      <c r="AD31" s="361"/>
      <c r="AE31" s="361"/>
      <c r="AF31" s="361"/>
      <c r="AG31" s="361"/>
      <c r="AH31" s="361"/>
      <c r="AI31" s="361"/>
      <c r="AJ31" s="361"/>
      <c r="AK31" s="361"/>
      <c r="AL31" s="361"/>
      <c r="AM31" s="361"/>
      <c r="AN31" s="361"/>
      <c r="AO31" s="153"/>
    </row>
    <row r="32" spans="1:41" ht="10" customHeight="1" x14ac:dyDescent="0.2">
      <c r="A32" s="153"/>
      <c r="B32" s="153"/>
      <c r="C32" s="370"/>
      <c r="D32" s="370"/>
      <c r="E32" s="370"/>
      <c r="F32" s="370"/>
      <c r="G32" s="370"/>
      <c r="H32" s="370"/>
      <c r="I32" s="370"/>
      <c r="J32" s="370"/>
      <c r="K32" s="374"/>
      <c r="L32" s="375"/>
      <c r="M32" s="375"/>
      <c r="N32" s="375"/>
      <c r="O32" s="376"/>
      <c r="P32" s="153"/>
      <c r="Q32" s="361" t="s">
        <v>347</v>
      </c>
      <c r="R32" s="361"/>
      <c r="S32" s="361"/>
      <c r="T32" s="361"/>
      <c r="U32" s="361"/>
      <c r="V32" s="361"/>
      <c r="W32" s="361"/>
      <c r="X32" s="361"/>
      <c r="Y32" s="361"/>
      <c r="Z32" s="361"/>
      <c r="AA32" s="361"/>
      <c r="AB32" s="361"/>
      <c r="AC32" s="361"/>
      <c r="AD32" s="361"/>
      <c r="AE32" s="361"/>
      <c r="AF32" s="361"/>
      <c r="AG32" s="361"/>
      <c r="AH32" s="361"/>
      <c r="AI32" s="361"/>
      <c r="AJ32" s="361"/>
      <c r="AK32" s="361"/>
      <c r="AL32" s="361"/>
      <c r="AM32" s="361"/>
      <c r="AN32" s="361"/>
      <c r="AO32" s="153"/>
    </row>
    <row r="33" spans="1:41" ht="10" customHeight="1" x14ac:dyDescent="0.2">
      <c r="A33" s="153"/>
      <c r="B33" s="153"/>
      <c r="C33" s="157"/>
      <c r="D33" s="157"/>
      <c r="E33" s="157"/>
      <c r="F33" s="157"/>
      <c r="G33" s="157"/>
      <c r="H33" s="157"/>
      <c r="I33" s="157"/>
      <c r="J33" s="157"/>
      <c r="K33" s="157"/>
      <c r="L33" s="157"/>
      <c r="M33" s="157"/>
      <c r="N33" s="157"/>
      <c r="O33" s="157"/>
      <c r="P33" s="153"/>
      <c r="Q33" s="377" t="s">
        <v>365</v>
      </c>
      <c r="R33" s="377"/>
      <c r="S33" s="377"/>
      <c r="T33" s="377"/>
      <c r="U33" s="377"/>
      <c r="V33" s="377"/>
      <c r="W33" s="377"/>
      <c r="X33" s="377"/>
      <c r="Y33" s="377"/>
      <c r="Z33" s="377"/>
      <c r="AA33" s="377"/>
      <c r="AB33" s="377"/>
      <c r="AC33" s="377"/>
      <c r="AD33" s="377"/>
      <c r="AE33" s="377"/>
      <c r="AF33" s="377"/>
      <c r="AG33" s="377"/>
      <c r="AH33" s="377"/>
      <c r="AI33" s="377"/>
      <c r="AJ33" s="153"/>
      <c r="AK33" s="153"/>
      <c r="AL33" s="153"/>
      <c r="AM33" s="153"/>
      <c r="AN33" s="153"/>
      <c r="AO33" s="153"/>
    </row>
    <row r="34" spans="1:41" ht="10" customHeight="1" x14ac:dyDescent="0.2">
      <c r="A34" s="153"/>
      <c r="B34" s="153"/>
      <c r="C34" s="370" t="s">
        <v>362</v>
      </c>
      <c r="D34" s="370"/>
      <c r="E34" s="370" t="s">
        <v>441</v>
      </c>
      <c r="F34" s="370"/>
      <c r="G34" s="370"/>
      <c r="H34" s="370"/>
      <c r="I34" s="370"/>
      <c r="J34" s="370"/>
      <c r="K34" s="371" t="s">
        <v>358</v>
      </c>
      <c r="L34" s="372"/>
      <c r="M34" s="372"/>
      <c r="N34" s="372"/>
      <c r="O34" s="373"/>
      <c r="P34" s="153"/>
      <c r="Q34" s="361" t="s">
        <v>348</v>
      </c>
      <c r="R34" s="361"/>
      <c r="S34" s="361"/>
      <c r="T34" s="361"/>
      <c r="U34" s="361"/>
      <c r="V34" s="361"/>
      <c r="W34" s="361"/>
      <c r="X34" s="361"/>
      <c r="Y34" s="361"/>
      <c r="Z34" s="361"/>
      <c r="AA34" s="361"/>
      <c r="AB34" s="361"/>
      <c r="AC34" s="361"/>
      <c r="AD34" s="361"/>
      <c r="AE34" s="361"/>
      <c r="AF34" s="361"/>
      <c r="AG34" s="361"/>
      <c r="AH34" s="361"/>
      <c r="AI34" s="361"/>
      <c r="AJ34" s="361"/>
      <c r="AK34" s="361"/>
      <c r="AL34" s="361"/>
      <c r="AM34" s="361"/>
      <c r="AN34" s="361"/>
      <c r="AO34" s="153"/>
    </row>
    <row r="35" spans="1:41" ht="10" customHeight="1" x14ac:dyDescent="0.2">
      <c r="A35" s="153"/>
      <c r="B35" s="153"/>
      <c r="C35" s="370"/>
      <c r="D35" s="370"/>
      <c r="E35" s="370"/>
      <c r="F35" s="370"/>
      <c r="G35" s="370"/>
      <c r="H35" s="370"/>
      <c r="I35" s="370"/>
      <c r="J35" s="370"/>
      <c r="K35" s="374"/>
      <c r="L35" s="375"/>
      <c r="M35" s="375"/>
      <c r="N35" s="375"/>
      <c r="O35" s="376"/>
      <c r="P35" s="153"/>
      <c r="Q35" s="153"/>
      <c r="R35" s="153"/>
      <c r="S35" s="153"/>
      <c r="T35" s="153"/>
      <c r="U35" s="153"/>
      <c r="V35" s="153"/>
      <c r="W35" s="153"/>
      <c r="X35" s="153"/>
      <c r="Y35" s="153"/>
      <c r="Z35" s="153"/>
      <c r="AA35" s="153"/>
      <c r="AB35" s="153"/>
      <c r="AC35" s="153"/>
      <c r="AD35" s="153"/>
      <c r="AE35" s="153"/>
      <c r="AF35" s="153"/>
      <c r="AG35" s="153"/>
      <c r="AH35" s="153"/>
      <c r="AI35" s="153"/>
      <c r="AJ35" s="153"/>
      <c r="AK35" s="153"/>
      <c r="AL35" s="153"/>
      <c r="AM35" s="153"/>
      <c r="AN35" s="153"/>
      <c r="AO35" s="153"/>
    </row>
    <row r="36" spans="1:41" ht="10" customHeight="1" x14ac:dyDescent="0.2">
      <c r="A36" s="153"/>
      <c r="B36" s="153"/>
      <c r="C36" s="157"/>
      <c r="D36" s="157"/>
      <c r="E36" s="157"/>
      <c r="F36" s="157"/>
      <c r="G36" s="157"/>
      <c r="H36" s="157"/>
      <c r="I36" s="157"/>
      <c r="J36" s="157"/>
      <c r="K36" s="157"/>
      <c r="L36" s="157"/>
      <c r="M36" s="157"/>
      <c r="N36" s="157"/>
      <c r="O36" s="157"/>
      <c r="P36" s="153"/>
      <c r="Q36" s="153"/>
      <c r="R36" s="153"/>
      <c r="S36" s="153"/>
      <c r="T36" s="153"/>
      <c r="U36" s="153"/>
      <c r="V36" s="153"/>
      <c r="W36" s="153"/>
      <c r="X36" s="153"/>
      <c r="Y36" s="153"/>
      <c r="Z36" s="153"/>
      <c r="AA36" s="153"/>
      <c r="AB36" s="153"/>
      <c r="AC36" s="153"/>
      <c r="AD36" s="153"/>
      <c r="AE36" s="153"/>
      <c r="AF36" s="153"/>
      <c r="AG36" s="153"/>
      <c r="AH36" s="153"/>
      <c r="AI36" s="153"/>
      <c r="AJ36" s="153"/>
      <c r="AK36" s="153"/>
      <c r="AL36" s="153"/>
      <c r="AM36" s="153"/>
      <c r="AN36" s="153"/>
      <c r="AO36" s="153"/>
    </row>
    <row r="37" spans="1:41" ht="10" customHeight="1" x14ac:dyDescent="0.2">
      <c r="A37" s="153"/>
      <c r="B37" s="153"/>
      <c r="C37" s="370" t="s">
        <v>349</v>
      </c>
      <c r="D37" s="370"/>
      <c r="E37" s="370" t="s">
        <v>443</v>
      </c>
      <c r="F37" s="370"/>
      <c r="G37" s="370"/>
      <c r="H37" s="370"/>
      <c r="I37" s="370"/>
      <c r="J37" s="370"/>
      <c r="K37" s="371" t="s">
        <v>339</v>
      </c>
      <c r="L37" s="372"/>
      <c r="M37" s="372"/>
      <c r="N37" s="372"/>
      <c r="O37" s="373"/>
      <c r="P37" s="153"/>
      <c r="Q37" s="361" t="s">
        <v>350</v>
      </c>
      <c r="R37" s="361"/>
      <c r="S37" s="361"/>
      <c r="T37" s="361"/>
      <c r="U37" s="361"/>
      <c r="V37" s="361"/>
      <c r="W37" s="361"/>
      <c r="X37" s="361"/>
      <c r="Y37" s="361"/>
      <c r="Z37" s="361"/>
      <c r="AA37" s="361"/>
      <c r="AB37" s="361"/>
      <c r="AC37" s="361"/>
      <c r="AD37" s="361"/>
      <c r="AE37" s="361"/>
      <c r="AF37" s="361"/>
      <c r="AG37" s="361"/>
      <c r="AH37" s="361"/>
      <c r="AI37" s="361"/>
      <c r="AJ37" s="361"/>
      <c r="AK37" s="361"/>
      <c r="AL37" s="361"/>
      <c r="AM37" s="361"/>
      <c r="AN37" s="361"/>
      <c r="AO37" s="153"/>
    </row>
    <row r="38" spans="1:41" ht="10" customHeight="1" x14ac:dyDescent="0.2">
      <c r="A38" s="153"/>
      <c r="B38" s="153"/>
      <c r="C38" s="370"/>
      <c r="D38" s="370"/>
      <c r="E38" s="370"/>
      <c r="F38" s="370"/>
      <c r="G38" s="370"/>
      <c r="H38" s="370"/>
      <c r="I38" s="370"/>
      <c r="J38" s="370"/>
      <c r="K38" s="374"/>
      <c r="L38" s="375"/>
      <c r="M38" s="375"/>
      <c r="N38" s="375"/>
      <c r="O38" s="376"/>
      <c r="P38" s="153"/>
      <c r="Q38" s="361" t="s">
        <v>351</v>
      </c>
      <c r="R38" s="361"/>
      <c r="S38" s="361"/>
      <c r="T38" s="361"/>
      <c r="U38" s="361"/>
      <c r="V38" s="361"/>
      <c r="W38" s="361"/>
      <c r="X38" s="361"/>
      <c r="Y38" s="361"/>
      <c r="Z38" s="361"/>
      <c r="AA38" s="361"/>
      <c r="AB38" s="361"/>
      <c r="AC38" s="361"/>
      <c r="AD38" s="361"/>
      <c r="AE38" s="361"/>
      <c r="AF38" s="361"/>
      <c r="AG38" s="361"/>
      <c r="AH38" s="361"/>
      <c r="AI38" s="361"/>
      <c r="AJ38" s="361"/>
      <c r="AK38" s="361"/>
      <c r="AL38" s="361"/>
      <c r="AM38" s="361"/>
      <c r="AN38" s="361"/>
      <c r="AO38" s="153"/>
    </row>
    <row r="39" spans="1:41" ht="10" customHeight="1" x14ac:dyDescent="0.2">
      <c r="A39" s="153"/>
      <c r="B39" s="153"/>
      <c r="C39" s="157"/>
      <c r="D39" s="157"/>
      <c r="E39" s="157"/>
      <c r="F39" s="157"/>
      <c r="G39" s="157"/>
      <c r="H39" s="157"/>
      <c r="I39" s="157"/>
      <c r="J39" s="157"/>
      <c r="K39" s="157"/>
      <c r="L39" s="157"/>
      <c r="M39" s="157"/>
      <c r="N39" s="157"/>
      <c r="O39" s="157"/>
      <c r="P39" s="153"/>
      <c r="Q39" s="377" t="s">
        <v>366</v>
      </c>
      <c r="R39" s="377"/>
      <c r="S39" s="377"/>
      <c r="T39" s="377"/>
      <c r="U39" s="377"/>
      <c r="V39" s="377"/>
      <c r="W39" s="377"/>
      <c r="X39" s="377"/>
      <c r="Y39" s="377"/>
      <c r="Z39" s="377"/>
      <c r="AA39" s="377"/>
      <c r="AB39" s="377"/>
      <c r="AC39" s="377"/>
      <c r="AD39" s="377"/>
      <c r="AE39" s="377"/>
      <c r="AF39" s="377"/>
      <c r="AG39" s="377"/>
      <c r="AH39" s="377"/>
      <c r="AI39" s="377"/>
      <c r="AJ39" s="377"/>
      <c r="AK39" s="377"/>
      <c r="AL39" s="377"/>
      <c r="AM39" s="377"/>
      <c r="AN39" s="377"/>
      <c r="AO39" s="153"/>
    </row>
    <row r="40" spans="1:41" ht="10" customHeight="1" x14ac:dyDescent="0.2">
      <c r="A40" s="153"/>
      <c r="B40" s="153"/>
      <c r="C40" s="370" t="s">
        <v>352</v>
      </c>
      <c r="D40" s="370"/>
      <c r="E40" s="370" t="s">
        <v>353</v>
      </c>
      <c r="F40" s="370"/>
      <c r="G40" s="370"/>
      <c r="H40" s="370"/>
      <c r="I40" s="370"/>
      <c r="J40" s="370"/>
      <c r="K40" s="371" t="s">
        <v>339</v>
      </c>
      <c r="L40" s="372"/>
      <c r="M40" s="372"/>
      <c r="N40" s="372"/>
      <c r="O40" s="373"/>
      <c r="P40" s="153"/>
      <c r="Q40" s="378" t="s">
        <v>354</v>
      </c>
      <c r="R40" s="378"/>
      <c r="S40" s="378"/>
      <c r="T40" s="378"/>
      <c r="U40" s="378"/>
      <c r="V40" s="378"/>
      <c r="W40" s="378"/>
      <c r="X40" s="378"/>
      <c r="Y40" s="378"/>
      <c r="Z40" s="378"/>
      <c r="AA40" s="378"/>
      <c r="AB40" s="378"/>
      <c r="AC40" s="378"/>
      <c r="AD40" s="378"/>
      <c r="AE40" s="378"/>
      <c r="AF40" s="378"/>
      <c r="AG40" s="378"/>
      <c r="AH40" s="378"/>
      <c r="AI40" s="378"/>
      <c r="AJ40" s="378"/>
      <c r="AK40" s="378"/>
      <c r="AL40" s="378"/>
      <c r="AM40" s="378"/>
      <c r="AN40" s="378"/>
      <c r="AO40" s="153"/>
    </row>
    <row r="41" spans="1:41" ht="10" customHeight="1" x14ac:dyDescent="0.2">
      <c r="A41" s="153"/>
      <c r="B41" s="153"/>
      <c r="C41" s="370"/>
      <c r="D41" s="370"/>
      <c r="E41" s="370"/>
      <c r="F41" s="370"/>
      <c r="G41" s="370"/>
      <c r="H41" s="370"/>
      <c r="I41" s="370"/>
      <c r="J41" s="370"/>
      <c r="K41" s="374"/>
      <c r="L41" s="375"/>
      <c r="M41" s="375"/>
      <c r="N41" s="375"/>
      <c r="O41" s="376"/>
      <c r="P41" s="153"/>
      <c r="Q41" s="361" t="s">
        <v>355</v>
      </c>
      <c r="R41" s="361"/>
      <c r="S41" s="361"/>
      <c r="T41" s="361"/>
      <c r="U41" s="361"/>
      <c r="V41" s="361"/>
      <c r="W41" s="361"/>
      <c r="X41" s="361"/>
      <c r="Y41" s="361"/>
      <c r="Z41" s="361"/>
      <c r="AA41" s="361"/>
      <c r="AB41" s="361"/>
      <c r="AC41" s="361"/>
      <c r="AD41" s="361"/>
      <c r="AE41" s="361"/>
      <c r="AF41" s="361"/>
      <c r="AG41" s="361"/>
      <c r="AH41" s="361"/>
      <c r="AI41" s="361"/>
      <c r="AJ41" s="361"/>
      <c r="AK41" s="361"/>
      <c r="AL41" s="361"/>
      <c r="AM41" s="361"/>
      <c r="AN41" s="361"/>
      <c r="AO41" s="153"/>
    </row>
    <row r="42" spans="1:41" ht="10" customHeight="1" x14ac:dyDescent="0.2">
      <c r="A42" s="153"/>
      <c r="B42" s="153"/>
      <c r="C42" s="153"/>
      <c r="D42" s="153"/>
      <c r="E42" s="153"/>
      <c r="F42" s="153"/>
      <c r="G42" s="153"/>
      <c r="H42" s="153"/>
      <c r="I42" s="153"/>
      <c r="J42" s="153"/>
      <c r="K42" s="153"/>
      <c r="L42" s="153"/>
      <c r="M42" s="153"/>
      <c r="N42" s="153"/>
      <c r="O42" s="153"/>
      <c r="P42" s="153"/>
      <c r="Q42" s="367" t="s">
        <v>356</v>
      </c>
      <c r="R42" s="361"/>
      <c r="S42" s="361"/>
      <c r="T42" s="361"/>
      <c r="U42" s="361"/>
      <c r="V42" s="361"/>
      <c r="W42" s="361"/>
      <c r="X42" s="361"/>
      <c r="Y42" s="361"/>
      <c r="Z42" s="361"/>
      <c r="AA42" s="361"/>
      <c r="AB42" s="361"/>
      <c r="AC42" s="361"/>
      <c r="AD42" s="361"/>
      <c r="AE42" s="361"/>
      <c r="AF42" s="361"/>
      <c r="AG42" s="361"/>
      <c r="AH42" s="361"/>
      <c r="AI42" s="361"/>
      <c r="AJ42" s="361"/>
      <c r="AK42" s="361"/>
      <c r="AL42" s="361"/>
      <c r="AM42" s="361"/>
      <c r="AN42" s="361"/>
      <c r="AO42" s="153"/>
    </row>
    <row r="43" spans="1:41" ht="10" customHeight="1" x14ac:dyDescent="0.2">
      <c r="A43" s="153"/>
      <c r="B43" s="153"/>
      <c r="C43" s="153"/>
      <c r="D43" s="153"/>
      <c r="E43" s="153"/>
      <c r="F43" s="153"/>
      <c r="G43" s="153"/>
      <c r="H43" s="153"/>
      <c r="I43" s="153"/>
      <c r="J43" s="153"/>
      <c r="K43" s="153"/>
      <c r="L43" s="153"/>
      <c r="M43" s="153"/>
      <c r="N43" s="153"/>
      <c r="O43" s="153"/>
      <c r="P43" s="153"/>
      <c r="Q43" s="153"/>
      <c r="R43" s="153"/>
      <c r="S43" s="153"/>
      <c r="T43" s="153"/>
      <c r="U43" s="153"/>
      <c r="V43" s="153"/>
      <c r="W43" s="153"/>
      <c r="X43" s="153"/>
      <c r="Y43" s="153"/>
      <c r="Z43" s="153"/>
      <c r="AA43" s="153"/>
      <c r="AB43" s="153"/>
      <c r="AC43" s="153"/>
      <c r="AD43" s="153"/>
      <c r="AE43" s="153"/>
      <c r="AF43" s="153"/>
      <c r="AG43" s="153"/>
      <c r="AH43" s="153"/>
      <c r="AI43" s="153"/>
      <c r="AJ43" s="153"/>
      <c r="AK43" s="153"/>
      <c r="AL43" s="153"/>
      <c r="AM43" s="153"/>
      <c r="AN43" s="153"/>
      <c r="AO43" s="153"/>
    </row>
    <row r="44" spans="1:41" ht="10" customHeight="1" x14ac:dyDescent="0.2">
      <c r="A44" s="153"/>
      <c r="B44" s="158"/>
      <c r="C44" s="158"/>
      <c r="D44" s="158"/>
      <c r="E44" s="158"/>
      <c r="F44" s="158"/>
      <c r="G44" s="158"/>
      <c r="H44" s="158"/>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row>
    <row r="45" spans="1:41" ht="10" customHeight="1" x14ac:dyDescent="0.2">
      <c r="A45" s="153"/>
      <c r="B45" s="159"/>
      <c r="C45" s="159"/>
      <c r="D45" s="159"/>
      <c r="E45" s="159"/>
      <c r="F45" s="159"/>
      <c r="G45" s="159"/>
      <c r="H45" s="159"/>
      <c r="I45" s="159"/>
      <c r="J45" s="159"/>
      <c r="K45" s="159"/>
      <c r="L45" s="159"/>
      <c r="M45" s="159"/>
      <c r="N45" s="159"/>
      <c r="O45" s="159"/>
      <c r="P45" s="159"/>
      <c r="Q45" s="159"/>
      <c r="R45" s="159"/>
      <c r="S45" s="159"/>
      <c r="T45" s="159"/>
      <c r="U45" s="159"/>
      <c r="V45" s="160"/>
      <c r="W45" s="160"/>
      <c r="X45" s="160"/>
      <c r="Y45" s="160"/>
      <c r="Z45" s="160"/>
      <c r="AA45" s="160"/>
      <c r="AB45" s="160"/>
      <c r="AC45" s="160"/>
      <c r="AD45" s="160"/>
      <c r="AE45" s="160"/>
      <c r="AF45" s="160"/>
      <c r="AG45" s="160"/>
      <c r="AH45" s="160"/>
      <c r="AI45" s="160"/>
      <c r="AJ45" s="160"/>
      <c r="AK45" s="160"/>
      <c r="AL45" s="160"/>
      <c r="AM45" s="160"/>
      <c r="AN45" s="160"/>
      <c r="AO45" s="153"/>
    </row>
    <row r="46" spans="1:41" ht="10" customHeight="1" x14ac:dyDescent="0.2">
      <c r="A46" s="153"/>
      <c r="B46" s="159"/>
      <c r="C46" s="159"/>
      <c r="D46" s="159"/>
      <c r="E46" s="159"/>
      <c r="F46" s="159"/>
      <c r="G46" s="159"/>
      <c r="H46" s="159"/>
      <c r="I46" s="159"/>
      <c r="J46" s="159"/>
      <c r="K46" s="159"/>
      <c r="L46" s="159"/>
      <c r="M46" s="159"/>
      <c r="N46" s="159"/>
      <c r="O46" s="159"/>
      <c r="P46" s="159"/>
      <c r="Q46" s="159"/>
      <c r="R46" s="159"/>
      <c r="S46" s="159"/>
      <c r="T46" s="159"/>
      <c r="U46" s="159"/>
      <c r="V46" s="160"/>
      <c r="W46" s="160"/>
      <c r="X46" s="160"/>
      <c r="Y46" s="160"/>
      <c r="Z46" s="160"/>
      <c r="AA46" s="160"/>
      <c r="AB46" s="160"/>
      <c r="AC46" s="160"/>
      <c r="AD46" s="160"/>
      <c r="AE46" s="160"/>
      <c r="AF46" s="160"/>
      <c r="AG46" s="160"/>
      <c r="AH46" s="160"/>
      <c r="AI46" s="160"/>
      <c r="AJ46" s="160"/>
      <c r="AK46" s="160"/>
      <c r="AL46" s="160"/>
      <c r="AM46" s="160"/>
      <c r="AN46" s="160"/>
      <c r="AO46" s="153"/>
    </row>
    <row r="47" spans="1:41" ht="10" customHeight="1" x14ac:dyDescent="0.2">
      <c r="A47" s="153"/>
      <c r="B47" s="161"/>
      <c r="C47" s="161"/>
      <c r="D47" s="161"/>
      <c r="E47" s="161"/>
      <c r="F47" s="161"/>
      <c r="G47" s="161"/>
      <c r="H47" s="161"/>
      <c r="I47" s="161"/>
      <c r="J47" s="161"/>
      <c r="K47" s="161"/>
      <c r="L47" s="161"/>
      <c r="M47" s="161"/>
      <c r="N47" s="161"/>
      <c r="O47" s="161"/>
      <c r="P47" s="161"/>
      <c r="Q47" s="161"/>
      <c r="R47" s="161"/>
      <c r="S47" s="161"/>
      <c r="T47" s="161"/>
      <c r="U47" s="161"/>
      <c r="V47" s="161"/>
      <c r="W47" s="161"/>
      <c r="X47" s="161"/>
      <c r="Y47" s="161"/>
      <c r="Z47" s="161"/>
      <c r="AA47" s="161"/>
      <c r="AB47" s="161"/>
      <c r="AC47" s="161"/>
      <c r="AD47" s="161"/>
      <c r="AE47" s="161"/>
      <c r="AF47" s="161"/>
      <c r="AG47" s="161"/>
      <c r="AH47" s="161"/>
      <c r="AI47" s="161"/>
      <c r="AJ47" s="161"/>
      <c r="AK47" s="161"/>
      <c r="AL47" s="161"/>
      <c r="AM47" s="161"/>
      <c r="AN47" s="161"/>
      <c r="AO47" s="153"/>
    </row>
    <row r="48" spans="1:41" ht="10" customHeight="1" x14ac:dyDescent="0.2">
      <c r="A48" s="153"/>
      <c r="B48" s="379"/>
      <c r="C48" s="379"/>
      <c r="D48" s="379"/>
      <c r="E48" s="379"/>
      <c r="F48" s="379"/>
      <c r="G48" s="379"/>
      <c r="H48" s="379"/>
      <c r="I48" s="379"/>
      <c r="J48" s="379"/>
      <c r="K48" s="379"/>
      <c r="L48" s="379"/>
      <c r="M48" s="379"/>
      <c r="N48" s="379"/>
      <c r="O48" s="379"/>
      <c r="P48" s="379"/>
      <c r="Q48" s="379"/>
      <c r="R48" s="379"/>
      <c r="S48" s="379"/>
      <c r="T48" s="379"/>
      <c r="U48" s="379"/>
      <c r="V48" s="379"/>
      <c r="W48" s="379"/>
      <c r="X48" s="379"/>
      <c r="Y48" s="379"/>
      <c r="Z48" s="379"/>
      <c r="AA48" s="379"/>
      <c r="AB48" s="379"/>
      <c r="AC48" s="379"/>
      <c r="AD48" s="379"/>
      <c r="AE48" s="379"/>
      <c r="AF48" s="379"/>
      <c r="AG48" s="379"/>
      <c r="AH48" s="379"/>
      <c r="AI48" s="379"/>
      <c r="AJ48" s="379"/>
      <c r="AK48" s="379"/>
      <c r="AL48" s="379"/>
      <c r="AM48" s="379"/>
      <c r="AN48" s="379"/>
      <c r="AO48" s="153"/>
    </row>
    <row r="49" spans="1:41" ht="10" customHeight="1" x14ac:dyDescent="0.2">
      <c r="A49" s="153"/>
      <c r="B49" s="379"/>
      <c r="C49" s="379"/>
      <c r="D49" s="379"/>
      <c r="E49" s="379"/>
      <c r="F49" s="379"/>
      <c r="G49" s="379"/>
      <c r="H49" s="379"/>
      <c r="I49" s="379"/>
      <c r="J49" s="379"/>
      <c r="K49" s="379"/>
      <c r="L49" s="379"/>
      <c r="M49" s="379"/>
      <c r="N49" s="379"/>
      <c r="O49" s="379"/>
      <c r="P49" s="379"/>
      <c r="Q49" s="379"/>
      <c r="R49" s="379"/>
      <c r="S49" s="379"/>
      <c r="T49" s="379"/>
      <c r="U49" s="379"/>
      <c r="V49" s="379"/>
      <c r="W49" s="379"/>
      <c r="X49" s="379"/>
      <c r="Y49" s="379"/>
      <c r="Z49" s="379"/>
      <c r="AA49" s="379"/>
      <c r="AB49" s="379"/>
      <c r="AC49" s="379"/>
      <c r="AD49" s="379"/>
      <c r="AE49" s="379"/>
      <c r="AF49" s="379"/>
      <c r="AG49" s="379"/>
      <c r="AH49" s="379"/>
      <c r="AI49" s="379"/>
      <c r="AJ49" s="379"/>
      <c r="AK49" s="379"/>
      <c r="AL49" s="379"/>
      <c r="AM49" s="379"/>
      <c r="AN49" s="379"/>
      <c r="AO49" s="153"/>
    </row>
    <row r="50" spans="1:41" ht="10" customHeight="1" x14ac:dyDescent="0.2">
      <c r="A50" s="153"/>
      <c r="B50" s="162"/>
      <c r="C50" s="162"/>
      <c r="D50" s="162"/>
      <c r="E50" s="162"/>
      <c r="F50" s="162"/>
      <c r="G50" s="162"/>
      <c r="H50" s="162"/>
      <c r="I50" s="162"/>
      <c r="J50" s="162"/>
      <c r="K50" s="162"/>
      <c r="L50" s="162"/>
      <c r="M50" s="162"/>
      <c r="N50" s="162"/>
      <c r="O50" s="162"/>
      <c r="P50" s="162"/>
      <c r="Q50" s="162"/>
      <c r="R50" s="162"/>
      <c r="S50" s="162"/>
      <c r="T50" s="162"/>
      <c r="U50" s="162"/>
      <c r="V50" s="162"/>
      <c r="W50" s="162"/>
      <c r="X50" s="162"/>
      <c r="Y50" s="162"/>
      <c r="Z50" s="162"/>
      <c r="AA50" s="162"/>
      <c r="AB50" s="162"/>
      <c r="AC50" s="162"/>
      <c r="AD50" s="162"/>
      <c r="AE50" s="162"/>
      <c r="AF50" s="162"/>
      <c r="AG50" s="162"/>
      <c r="AH50" s="162"/>
      <c r="AI50" s="162"/>
      <c r="AJ50" s="162"/>
      <c r="AK50" s="162"/>
      <c r="AL50" s="162"/>
      <c r="AM50" s="162"/>
      <c r="AN50" s="162"/>
      <c r="AO50" s="153"/>
    </row>
    <row r="51" spans="1:41" ht="10" customHeight="1" x14ac:dyDescent="0.2">
      <c r="A51" s="153"/>
      <c r="B51" s="163"/>
      <c r="C51" s="163"/>
      <c r="D51" s="163"/>
      <c r="E51" s="163"/>
      <c r="F51" s="380"/>
      <c r="G51" s="380"/>
      <c r="H51" s="380"/>
      <c r="I51" s="380"/>
      <c r="J51" s="380"/>
      <c r="K51" s="380"/>
      <c r="L51" s="380"/>
      <c r="M51" s="380"/>
      <c r="N51" s="380"/>
      <c r="O51" s="380"/>
      <c r="P51" s="380"/>
      <c r="Q51" s="380"/>
      <c r="R51" s="380"/>
      <c r="S51" s="380"/>
      <c r="T51" s="380"/>
      <c r="U51" s="380"/>
      <c r="V51" s="380"/>
      <c r="W51" s="380"/>
      <c r="X51" s="380"/>
      <c r="Y51" s="380"/>
      <c r="Z51" s="380"/>
      <c r="AA51" s="380"/>
      <c r="AB51" s="380"/>
      <c r="AC51" s="380"/>
      <c r="AD51" s="380"/>
      <c r="AE51" s="380"/>
      <c r="AF51" s="380"/>
      <c r="AG51" s="380"/>
      <c r="AH51" s="380"/>
      <c r="AI51" s="380"/>
      <c r="AJ51" s="380"/>
      <c r="AK51" s="380"/>
      <c r="AL51" s="380"/>
      <c r="AM51" s="164"/>
      <c r="AN51" s="164"/>
      <c r="AO51" s="153"/>
    </row>
    <row r="52" spans="1:41" ht="10" customHeight="1" x14ac:dyDescent="0.2">
      <c r="A52" s="153"/>
      <c r="B52" s="163"/>
      <c r="C52" s="163"/>
      <c r="D52" s="163"/>
      <c r="E52" s="163"/>
      <c r="F52" s="380"/>
      <c r="G52" s="380"/>
      <c r="H52" s="380"/>
      <c r="I52" s="380"/>
      <c r="J52" s="380"/>
      <c r="K52" s="380"/>
      <c r="L52" s="380"/>
      <c r="M52" s="380"/>
      <c r="N52" s="380"/>
      <c r="O52" s="380"/>
      <c r="P52" s="380"/>
      <c r="Q52" s="380"/>
      <c r="R52" s="380"/>
      <c r="S52" s="380"/>
      <c r="T52" s="380"/>
      <c r="U52" s="380"/>
      <c r="V52" s="380"/>
      <c r="W52" s="380"/>
      <c r="X52" s="380"/>
      <c r="Y52" s="380"/>
      <c r="Z52" s="380"/>
      <c r="AA52" s="380"/>
      <c r="AB52" s="380"/>
      <c r="AC52" s="380"/>
      <c r="AD52" s="380"/>
      <c r="AE52" s="380"/>
      <c r="AF52" s="380"/>
      <c r="AG52" s="380"/>
      <c r="AH52" s="380"/>
      <c r="AI52" s="380"/>
      <c r="AJ52" s="380"/>
      <c r="AK52" s="380"/>
      <c r="AL52" s="380"/>
      <c r="AM52" s="164"/>
      <c r="AN52" s="164"/>
      <c r="AO52" s="153"/>
    </row>
    <row r="53" spans="1:41" ht="10" customHeight="1" x14ac:dyDescent="0.2">
      <c r="A53" s="153"/>
      <c r="B53" s="160"/>
      <c r="C53" s="160"/>
      <c r="D53" s="160"/>
      <c r="E53" s="160"/>
      <c r="F53" s="380"/>
      <c r="G53" s="380"/>
      <c r="H53" s="380"/>
      <c r="I53" s="380"/>
      <c r="J53" s="380"/>
      <c r="K53" s="380"/>
      <c r="L53" s="380"/>
      <c r="M53" s="380"/>
      <c r="N53" s="380"/>
      <c r="O53" s="380"/>
      <c r="P53" s="380"/>
      <c r="Q53" s="380"/>
      <c r="R53" s="380"/>
      <c r="S53" s="380"/>
      <c r="T53" s="380"/>
      <c r="U53" s="380"/>
      <c r="V53" s="380"/>
      <c r="W53" s="380"/>
      <c r="X53" s="380"/>
      <c r="Y53" s="380"/>
      <c r="Z53" s="380"/>
      <c r="AA53" s="380"/>
      <c r="AB53" s="380"/>
      <c r="AC53" s="380"/>
      <c r="AD53" s="380"/>
      <c r="AE53" s="380"/>
      <c r="AF53" s="380"/>
      <c r="AG53" s="380"/>
      <c r="AH53" s="380"/>
      <c r="AI53" s="380"/>
      <c r="AJ53" s="380"/>
      <c r="AK53" s="380"/>
      <c r="AL53" s="380"/>
      <c r="AM53" s="164"/>
      <c r="AN53" s="164"/>
      <c r="AO53" s="153"/>
    </row>
    <row r="54" spans="1:41" ht="10" customHeight="1" x14ac:dyDescent="0.2">
      <c r="A54" s="153"/>
      <c r="B54" s="162"/>
      <c r="C54" s="162"/>
      <c r="D54" s="162"/>
      <c r="E54" s="162"/>
      <c r="F54" s="380"/>
      <c r="G54" s="380"/>
      <c r="H54" s="380"/>
      <c r="I54" s="380"/>
      <c r="J54" s="380"/>
      <c r="K54" s="380"/>
      <c r="L54" s="380"/>
      <c r="M54" s="380"/>
      <c r="N54" s="380"/>
      <c r="O54" s="380"/>
      <c r="P54" s="380"/>
      <c r="Q54" s="380"/>
      <c r="R54" s="380"/>
      <c r="S54" s="380"/>
      <c r="T54" s="380"/>
      <c r="U54" s="380"/>
      <c r="V54" s="380"/>
      <c r="W54" s="380"/>
      <c r="X54" s="380"/>
      <c r="Y54" s="380"/>
      <c r="Z54" s="380"/>
      <c r="AA54" s="380"/>
      <c r="AB54" s="380"/>
      <c r="AC54" s="380"/>
      <c r="AD54" s="380"/>
      <c r="AE54" s="380"/>
      <c r="AF54" s="380"/>
      <c r="AG54" s="380"/>
      <c r="AH54" s="380"/>
      <c r="AI54" s="380"/>
      <c r="AJ54" s="380"/>
      <c r="AK54" s="380"/>
      <c r="AL54" s="380"/>
      <c r="AM54" s="153"/>
      <c r="AN54" s="153"/>
      <c r="AO54" s="153"/>
    </row>
    <row r="55" spans="1:41" ht="9.75" customHeight="1" x14ac:dyDescent="0.2">
      <c r="A55" s="153"/>
      <c r="B55" s="156"/>
      <c r="C55" s="156"/>
      <c r="D55" s="156"/>
      <c r="E55" s="156"/>
      <c r="F55" s="380"/>
      <c r="G55" s="380"/>
      <c r="H55" s="380"/>
      <c r="I55" s="380"/>
      <c r="J55" s="380"/>
      <c r="K55" s="380"/>
      <c r="L55" s="380"/>
      <c r="M55" s="380"/>
      <c r="N55" s="380"/>
      <c r="O55" s="380"/>
      <c r="P55" s="380"/>
      <c r="Q55" s="380"/>
      <c r="R55" s="380"/>
      <c r="S55" s="380"/>
      <c r="T55" s="380"/>
      <c r="U55" s="380"/>
      <c r="V55" s="380"/>
      <c r="W55" s="380"/>
      <c r="X55" s="380"/>
      <c r="Y55" s="380"/>
      <c r="Z55" s="380"/>
      <c r="AA55" s="380"/>
      <c r="AB55" s="380"/>
      <c r="AC55" s="380"/>
      <c r="AD55" s="380"/>
      <c r="AE55" s="380"/>
      <c r="AF55" s="380"/>
      <c r="AG55" s="380"/>
      <c r="AH55" s="380"/>
      <c r="AI55" s="380"/>
      <c r="AJ55" s="380"/>
      <c r="AK55" s="380"/>
      <c r="AL55" s="380"/>
      <c r="AM55" s="153"/>
      <c r="AN55" s="153"/>
      <c r="AO55" s="153"/>
    </row>
    <row r="56" spans="1:41" ht="9.75" customHeight="1" x14ac:dyDescent="0.2">
      <c r="A56" s="153"/>
      <c r="B56" s="153"/>
      <c r="C56" s="153"/>
      <c r="D56" s="153"/>
      <c r="E56" s="153"/>
      <c r="F56" s="380"/>
      <c r="G56" s="380"/>
      <c r="H56" s="380"/>
      <c r="I56" s="380"/>
      <c r="J56" s="380"/>
      <c r="K56" s="380"/>
      <c r="L56" s="380"/>
      <c r="M56" s="380"/>
      <c r="N56" s="380"/>
      <c r="O56" s="380"/>
      <c r="P56" s="380"/>
      <c r="Q56" s="380"/>
      <c r="R56" s="380"/>
      <c r="S56" s="380"/>
      <c r="T56" s="380"/>
      <c r="U56" s="380"/>
      <c r="V56" s="380"/>
      <c r="W56" s="380"/>
      <c r="X56" s="380"/>
      <c r="Y56" s="380"/>
      <c r="Z56" s="380"/>
      <c r="AA56" s="380"/>
      <c r="AB56" s="380"/>
      <c r="AC56" s="380"/>
      <c r="AD56" s="380"/>
      <c r="AE56" s="380"/>
      <c r="AF56" s="380"/>
      <c r="AG56" s="380"/>
      <c r="AH56" s="380"/>
      <c r="AI56" s="380"/>
      <c r="AJ56" s="380"/>
      <c r="AK56" s="380"/>
      <c r="AL56" s="380"/>
      <c r="AM56" s="153"/>
      <c r="AN56" s="153"/>
      <c r="AO56" s="153"/>
    </row>
    <row r="57" spans="1:41" ht="9.75" customHeight="1" x14ac:dyDescent="0.2">
      <c r="A57" s="153"/>
      <c r="B57" s="153"/>
      <c r="C57" s="153"/>
      <c r="D57" s="153"/>
      <c r="E57" s="153"/>
      <c r="F57" s="380"/>
      <c r="G57" s="380"/>
      <c r="H57" s="380"/>
      <c r="I57" s="380"/>
      <c r="J57" s="380"/>
      <c r="K57" s="380"/>
      <c r="L57" s="380"/>
      <c r="M57" s="380"/>
      <c r="N57" s="380"/>
      <c r="O57" s="380"/>
      <c r="P57" s="380"/>
      <c r="Q57" s="380"/>
      <c r="R57" s="380"/>
      <c r="S57" s="380"/>
      <c r="T57" s="380"/>
      <c r="U57" s="380"/>
      <c r="V57" s="380"/>
      <c r="W57" s="380"/>
      <c r="X57" s="380"/>
      <c r="Y57" s="380"/>
      <c r="Z57" s="380"/>
      <c r="AA57" s="380"/>
      <c r="AB57" s="380"/>
      <c r="AC57" s="380"/>
      <c r="AD57" s="380"/>
      <c r="AE57" s="380"/>
      <c r="AF57" s="380"/>
      <c r="AG57" s="380"/>
      <c r="AH57" s="380"/>
      <c r="AI57" s="380"/>
      <c r="AJ57" s="380"/>
      <c r="AK57" s="380"/>
      <c r="AL57" s="380"/>
      <c r="AM57" s="153"/>
      <c r="AN57" s="153"/>
      <c r="AO57" s="153"/>
    </row>
    <row r="58" spans="1:41" ht="10" customHeight="1" x14ac:dyDescent="0.2"/>
    <row r="59" spans="1:41" ht="10" customHeight="1" x14ac:dyDescent="0.2"/>
    <row r="60" spans="1:41" ht="10" customHeight="1" x14ac:dyDescent="0.2">
      <c r="S60" s="165"/>
      <c r="T60" s="165"/>
      <c r="U60" s="165"/>
      <c r="V60" s="165"/>
      <c r="W60" s="165"/>
      <c r="X60" s="165"/>
      <c r="Y60" s="165"/>
      <c r="Z60" s="165"/>
      <c r="AA60" s="165"/>
      <c r="AB60" s="165"/>
      <c r="AC60" s="165"/>
      <c r="AD60" s="165"/>
      <c r="AE60" s="165"/>
      <c r="AF60" s="165"/>
      <c r="AG60" s="165"/>
      <c r="AH60" s="165"/>
      <c r="AI60" s="165"/>
    </row>
    <row r="61" spans="1:41" ht="10" customHeight="1" x14ac:dyDescent="0.2">
      <c r="S61" s="165"/>
      <c r="T61" s="165"/>
      <c r="U61" s="165"/>
      <c r="V61" s="165"/>
      <c r="W61" s="165"/>
      <c r="X61" s="165"/>
      <c r="Y61" s="165"/>
      <c r="Z61" s="165"/>
      <c r="AA61" s="165"/>
      <c r="AB61" s="165"/>
      <c r="AC61" s="165"/>
      <c r="AD61" s="165"/>
      <c r="AE61" s="165"/>
      <c r="AF61" s="165"/>
      <c r="AG61" s="165"/>
      <c r="AH61" s="165"/>
      <c r="AI61" s="165"/>
    </row>
    <row r="62" spans="1:41" ht="10" customHeight="1" x14ac:dyDescent="0.2"/>
  </sheetData>
  <mergeCells count="77">
    <mergeCell ref="B48:AN49"/>
    <mergeCell ref="F51:AL57"/>
    <mergeCell ref="C37:D38"/>
    <mergeCell ref="E37:J38"/>
    <mergeCell ref="K37:O38"/>
    <mergeCell ref="Q37:AN37"/>
    <mergeCell ref="Q38:AN38"/>
    <mergeCell ref="Q39:AN39"/>
    <mergeCell ref="Q30:AD30"/>
    <mergeCell ref="Q33:AI33"/>
    <mergeCell ref="Q42:AN42"/>
    <mergeCell ref="C40:D41"/>
    <mergeCell ref="E40:J41"/>
    <mergeCell ref="K40:O41"/>
    <mergeCell ref="Q40:AN40"/>
    <mergeCell ref="Q41:AN41"/>
    <mergeCell ref="C34:D35"/>
    <mergeCell ref="E34:J35"/>
    <mergeCell ref="K34:O35"/>
    <mergeCell ref="Q34:AN34"/>
    <mergeCell ref="C31:D32"/>
    <mergeCell ref="E31:J32"/>
    <mergeCell ref="K31:O32"/>
    <mergeCell ref="Q31:AN31"/>
    <mergeCell ref="Q32:AN32"/>
    <mergeCell ref="C28:D29"/>
    <mergeCell ref="E28:J29"/>
    <mergeCell ref="K28:O29"/>
    <mergeCell ref="Q28:AN28"/>
    <mergeCell ref="Q29:AN29"/>
    <mergeCell ref="C25:D26"/>
    <mergeCell ref="E25:J26"/>
    <mergeCell ref="K25:O26"/>
    <mergeCell ref="Q25:AN25"/>
    <mergeCell ref="Q26:AN26"/>
    <mergeCell ref="Q22:AN22"/>
    <mergeCell ref="K18:M18"/>
    <mergeCell ref="Q18:AN18"/>
    <mergeCell ref="C19:J19"/>
    <mergeCell ref="K19:M19"/>
    <mergeCell ref="Q19:AN19"/>
    <mergeCell ref="Q27:AN27"/>
    <mergeCell ref="C16:J16"/>
    <mergeCell ref="K16:M16"/>
    <mergeCell ref="Q16:AN17"/>
    <mergeCell ref="C17:J17"/>
    <mergeCell ref="K17:M17"/>
    <mergeCell ref="C18:J18"/>
    <mergeCell ref="C22:D23"/>
    <mergeCell ref="E22:J23"/>
    <mergeCell ref="K22:O23"/>
    <mergeCell ref="C14:J14"/>
    <mergeCell ref="K14:M14"/>
    <mergeCell ref="Q14:AN14"/>
    <mergeCell ref="C15:J15"/>
    <mergeCell ref="K15:M15"/>
    <mergeCell ref="Q15:AN15"/>
    <mergeCell ref="C12:J12"/>
    <mergeCell ref="K12:M12"/>
    <mergeCell ref="Q12:AN12"/>
    <mergeCell ref="C13:J13"/>
    <mergeCell ref="K13:M13"/>
    <mergeCell ref="Q13:AN13"/>
    <mergeCell ref="C10:J10"/>
    <mergeCell ref="K10:M10"/>
    <mergeCell ref="Q10:AN10"/>
    <mergeCell ref="C11:J11"/>
    <mergeCell ref="K11:M11"/>
    <mergeCell ref="Q11:AN11"/>
    <mergeCell ref="B2:W3"/>
    <mergeCell ref="B4:AI4"/>
    <mergeCell ref="B5:AI5"/>
    <mergeCell ref="C8:O8"/>
    <mergeCell ref="Q8:AN8"/>
    <mergeCell ref="C9:J9"/>
    <mergeCell ref="K9:M9"/>
    <mergeCell ref="Q9:AN9"/>
  </mergeCells>
  <phoneticPr fontId="3"/>
  <pageMargins left="0.70866141732283472" right="0.70866141732283472" top="0.74803149606299213" bottom="0.74803149606299213" header="0.31496062992125984" footer="0.31496062992125984"/>
  <pageSetup paperSize="9" scale="13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3AF8B-8CDA-418F-8EC1-200FA07618B2}">
  <sheetPr>
    <pageSetUpPr fitToPage="1"/>
  </sheetPr>
  <dimension ref="A1:M67"/>
  <sheetViews>
    <sheetView workbookViewId="0">
      <selection activeCell="A63" sqref="A63:G63"/>
    </sheetView>
  </sheetViews>
  <sheetFormatPr defaultColWidth="9" defaultRowHeight="13" x14ac:dyDescent="0.2"/>
  <cols>
    <col min="1" max="1" width="6.08984375" style="136" customWidth="1"/>
    <col min="2" max="2" width="5.08984375" style="136" customWidth="1"/>
    <col min="3" max="3" width="12.90625" style="136" customWidth="1"/>
    <col min="4" max="4" width="12.6328125" style="136" customWidth="1"/>
    <col min="5" max="5" width="3.90625" style="136" customWidth="1"/>
    <col min="6" max="6" width="9.6328125" style="136" customWidth="1"/>
    <col min="7" max="7" width="4.6328125" style="136" customWidth="1"/>
    <col min="8" max="8" width="8.6328125" style="136" customWidth="1"/>
    <col min="9" max="10" width="11.6328125" style="136" customWidth="1"/>
    <col min="11" max="11" width="15.08984375" style="136" customWidth="1"/>
    <col min="12" max="12" width="11.6328125" style="136" customWidth="1"/>
    <col min="13" max="16384" width="9" style="136"/>
  </cols>
  <sheetData>
    <row r="1" spans="1:11" ht="13.5" customHeight="1" x14ac:dyDescent="0.2"/>
    <row r="6" spans="1:11" x14ac:dyDescent="0.2">
      <c r="A6" s="137"/>
      <c r="B6" s="381" t="s">
        <v>117</v>
      </c>
      <c r="C6" s="381"/>
      <c r="D6" s="381"/>
      <c r="E6" s="381"/>
      <c r="F6" s="381"/>
      <c r="G6" s="381"/>
      <c r="H6" s="381"/>
      <c r="I6" s="381"/>
      <c r="J6" s="381"/>
      <c r="K6" s="137"/>
    </row>
    <row r="7" spans="1:11" x14ac:dyDescent="0.2">
      <c r="A7" s="137"/>
      <c r="B7" s="381"/>
      <c r="C7" s="381"/>
      <c r="D7" s="381"/>
      <c r="E7" s="381"/>
      <c r="F7" s="381"/>
      <c r="G7" s="381"/>
      <c r="H7" s="381"/>
      <c r="I7" s="381"/>
      <c r="J7" s="381"/>
      <c r="K7" s="137"/>
    </row>
    <row r="8" spans="1:11" ht="11.25" customHeight="1" x14ac:dyDescent="0.2"/>
    <row r="9" spans="1:11" ht="13.5" thickBot="1" x14ac:dyDescent="0.25">
      <c r="A9" s="382" t="s">
        <v>118</v>
      </c>
      <c r="B9" s="383"/>
      <c r="C9" s="138" t="s">
        <v>119</v>
      </c>
      <c r="D9" s="139"/>
      <c r="E9" s="138"/>
      <c r="F9" s="138" t="s">
        <v>120</v>
      </c>
      <c r="G9" s="138"/>
      <c r="H9" s="139"/>
      <c r="I9" s="140" t="s">
        <v>121</v>
      </c>
      <c r="J9" s="140" t="s">
        <v>122</v>
      </c>
      <c r="K9" s="141" t="s">
        <v>123</v>
      </c>
    </row>
    <row r="10" spans="1:11" ht="13.5" thickTop="1" x14ac:dyDescent="0.2">
      <c r="A10" s="384" t="s">
        <v>124</v>
      </c>
      <c r="B10" s="385"/>
      <c r="C10" s="388" t="s">
        <v>125</v>
      </c>
      <c r="D10" s="390" t="s">
        <v>126</v>
      </c>
      <c r="E10" s="392" t="s">
        <v>127</v>
      </c>
      <c r="F10" s="393"/>
      <c r="G10" s="394" t="s">
        <v>128</v>
      </c>
      <c r="H10" s="395"/>
      <c r="I10" s="214" t="s">
        <v>129</v>
      </c>
      <c r="J10" s="396" t="s">
        <v>439</v>
      </c>
      <c r="K10" s="405" t="s">
        <v>130</v>
      </c>
    </row>
    <row r="11" spans="1:11" x14ac:dyDescent="0.2">
      <c r="A11" s="386"/>
      <c r="B11" s="387"/>
      <c r="C11" s="389"/>
      <c r="D11" s="391"/>
      <c r="E11" s="408" t="s">
        <v>131</v>
      </c>
      <c r="F11" s="409"/>
      <c r="G11" s="410" t="s">
        <v>132</v>
      </c>
      <c r="H11" s="411"/>
      <c r="I11" s="215" t="s">
        <v>133</v>
      </c>
      <c r="J11" s="397"/>
      <c r="K11" s="406"/>
    </row>
    <row r="12" spans="1:11" x14ac:dyDescent="0.2">
      <c r="A12" s="412" t="s">
        <v>134</v>
      </c>
      <c r="B12" s="413"/>
      <c r="C12" s="416" t="s">
        <v>135</v>
      </c>
      <c r="D12" s="399" t="s">
        <v>136</v>
      </c>
      <c r="E12" s="401" t="s">
        <v>137</v>
      </c>
      <c r="F12" s="402"/>
      <c r="G12" s="418" t="s">
        <v>138</v>
      </c>
      <c r="H12" s="419"/>
      <c r="I12" s="215" t="s">
        <v>139</v>
      </c>
      <c r="J12" s="397"/>
      <c r="K12" s="406"/>
    </row>
    <row r="13" spans="1:11" x14ac:dyDescent="0.2">
      <c r="A13" s="414"/>
      <c r="B13" s="415"/>
      <c r="C13" s="417"/>
      <c r="D13" s="400"/>
      <c r="E13" s="403"/>
      <c r="F13" s="404"/>
      <c r="G13" s="420"/>
      <c r="H13" s="421"/>
      <c r="I13" s="215" t="s">
        <v>133</v>
      </c>
      <c r="J13" s="397"/>
      <c r="K13" s="406"/>
    </row>
    <row r="14" spans="1:11" x14ac:dyDescent="0.2">
      <c r="A14" s="412" t="s">
        <v>140</v>
      </c>
      <c r="B14" s="413"/>
      <c r="C14" s="416" t="s">
        <v>141</v>
      </c>
      <c r="D14" s="399" t="s">
        <v>142</v>
      </c>
      <c r="E14" s="401" t="s">
        <v>143</v>
      </c>
      <c r="F14" s="402"/>
      <c r="G14" s="418" t="s">
        <v>144</v>
      </c>
      <c r="H14" s="419"/>
      <c r="I14" s="215" t="s">
        <v>145</v>
      </c>
      <c r="J14" s="397"/>
      <c r="K14" s="406"/>
    </row>
    <row r="15" spans="1:11" x14ac:dyDescent="0.2">
      <c r="A15" s="414"/>
      <c r="B15" s="415"/>
      <c r="C15" s="417"/>
      <c r="D15" s="400"/>
      <c r="E15" s="403"/>
      <c r="F15" s="404"/>
      <c r="G15" s="420"/>
      <c r="H15" s="421"/>
      <c r="I15" s="215" t="s">
        <v>146</v>
      </c>
      <c r="J15" s="397"/>
      <c r="K15" s="406"/>
    </row>
    <row r="16" spans="1:11" x14ac:dyDescent="0.2">
      <c r="A16" s="422" t="s">
        <v>147</v>
      </c>
      <c r="B16" s="423"/>
      <c r="C16" s="144" t="s">
        <v>148</v>
      </c>
      <c r="D16" s="145" t="s">
        <v>149</v>
      </c>
      <c r="E16" s="424" t="s">
        <v>150</v>
      </c>
      <c r="F16" s="425"/>
      <c r="G16" s="426" t="s">
        <v>151</v>
      </c>
      <c r="H16" s="427"/>
      <c r="I16" s="215" t="s">
        <v>152</v>
      </c>
      <c r="J16" s="397"/>
      <c r="K16" s="406"/>
    </row>
    <row r="17" spans="1:12" s="148" customFormat="1" ht="15" customHeight="1" x14ac:dyDescent="0.2">
      <c r="A17" s="428" t="s">
        <v>153</v>
      </c>
      <c r="B17" s="429"/>
      <c r="C17" s="146" t="s">
        <v>154</v>
      </c>
      <c r="D17" s="147" t="s">
        <v>155</v>
      </c>
      <c r="E17" s="430" t="s">
        <v>156</v>
      </c>
      <c r="F17" s="431"/>
      <c r="G17" s="432" t="s">
        <v>157</v>
      </c>
      <c r="H17" s="433"/>
      <c r="I17" s="215" t="s">
        <v>152</v>
      </c>
      <c r="J17" s="397"/>
      <c r="K17" s="406"/>
    </row>
    <row r="18" spans="1:12" s="148" customFormat="1" ht="15" customHeight="1" x14ac:dyDescent="0.2">
      <c r="A18" s="422" t="s">
        <v>158</v>
      </c>
      <c r="B18" s="423"/>
      <c r="C18" s="144" t="s">
        <v>159</v>
      </c>
      <c r="D18" s="145" t="s">
        <v>160</v>
      </c>
      <c r="E18" s="424" t="s">
        <v>161</v>
      </c>
      <c r="F18" s="434"/>
      <c r="G18" s="426" t="s">
        <v>162</v>
      </c>
      <c r="H18" s="435"/>
      <c r="I18" s="215" t="s">
        <v>152</v>
      </c>
      <c r="J18" s="397"/>
      <c r="K18" s="406"/>
    </row>
    <row r="19" spans="1:12" s="148" customFormat="1" ht="15" customHeight="1" x14ac:dyDescent="0.2">
      <c r="A19" s="422" t="s">
        <v>163</v>
      </c>
      <c r="B19" s="423"/>
      <c r="C19" s="144" t="s">
        <v>164</v>
      </c>
      <c r="D19" s="145" t="s">
        <v>165</v>
      </c>
      <c r="E19" s="424" t="s">
        <v>166</v>
      </c>
      <c r="F19" s="425"/>
      <c r="G19" s="426" t="s">
        <v>167</v>
      </c>
      <c r="H19" s="427"/>
      <c r="I19" s="215" t="s">
        <v>168</v>
      </c>
      <c r="J19" s="397"/>
      <c r="K19" s="406"/>
    </row>
    <row r="20" spans="1:12" s="148" customFormat="1" ht="15" customHeight="1" x14ac:dyDescent="0.2">
      <c r="A20" s="422" t="s">
        <v>169</v>
      </c>
      <c r="B20" s="423"/>
      <c r="C20" s="144" t="s">
        <v>170</v>
      </c>
      <c r="D20" s="145" t="s">
        <v>171</v>
      </c>
      <c r="E20" s="424" t="s">
        <v>172</v>
      </c>
      <c r="F20" s="425"/>
      <c r="G20" s="426" t="s">
        <v>173</v>
      </c>
      <c r="H20" s="427"/>
      <c r="I20" s="215" t="s">
        <v>174</v>
      </c>
      <c r="J20" s="397"/>
      <c r="K20" s="406"/>
    </row>
    <row r="21" spans="1:12" s="148" customFormat="1" ht="15" customHeight="1" x14ac:dyDescent="0.2">
      <c r="A21" s="436" t="s">
        <v>175</v>
      </c>
      <c r="B21" s="437"/>
      <c r="C21" s="212" t="s">
        <v>176</v>
      </c>
      <c r="D21" s="213" t="s">
        <v>177</v>
      </c>
      <c r="E21" s="438" t="s">
        <v>178</v>
      </c>
      <c r="F21" s="439"/>
      <c r="G21" s="440" t="s">
        <v>179</v>
      </c>
      <c r="H21" s="441"/>
      <c r="I21" s="215" t="s">
        <v>180</v>
      </c>
      <c r="J21" s="397"/>
      <c r="K21" s="406"/>
    </row>
    <row r="22" spans="1:12" s="148" customFormat="1" ht="15" customHeight="1" x14ac:dyDescent="0.2">
      <c r="A22" s="422" t="s">
        <v>181</v>
      </c>
      <c r="B22" s="423"/>
      <c r="C22" s="144" t="s">
        <v>182</v>
      </c>
      <c r="D22" s="145" t="s">
        <v>183</v>
      </c>
      <c r="E22" s="424" t="s">
        <v>184</v>
      </c>
      <c r="F22" s="425"/>
      <c r="G22" s="426" t="s">
        <v>185</v>
      </c>
      <c r="H22" s="427"/>
      <c r="I22" s="215" t="s">
        <v>186</v>
      </c>
      <c r="J22" s="397"/>
      <c r="K22" s="406"/>
    </row>
    <row r="23" spans="1:12" s="148" customFormat="1" ht="15" customHeight="1" x14ac:dyDescent="0.2">
      <c r="A23" s="412" t="s">
        <v>187</v>
      </c>
      <c r="B23" s="413"/>
      <c r="C23" s="416" t="s">
        <v>188</v>
      </c>
      <c r="D23" s="399" t="s">
        <v>189</v>
      </c>
      <c r="E23" s="401" t="s">
        <v>190</v>
      </c>
      <c r="F23" s="402"/>
      <c r="G23" s="418" t="s">
        <v>191</v>
      </c>
      <c r="H23" s="419"/>
      <c r="I23" s="215" t="s">
        <v>192</v>
      </c>
      <c r="J23" s="397"/>
      <c r="K23" s="406"/>
    </row>
    <row r="24" spans="1:12" s="148" customFormat="1" ht="15" customHeight="1" x14ac:dyDescent="0.2">
      <c r="A24" s="414"/>
      <c r="B24" s="415"/>
      <c r="C24" s="417"/>
      <c r="D24" s="400"/>
      <c r="E24" s="403"/>
      <c r="F24" s="404"/>
      <c r="G24" s="420"/>
      <c r="H24" s="421"/>
      <c r="I24" s="215" t="s">
        <v>186</v>
      </c>
      <c r="J24" s="397"/>
      <c r="K24" s="406"/>
    </row>
    <row r="25" spans="1:12" s="148" customFormat="1" ht="15" customHeight="1" x14ac:dyDescent="0.2">
      <c r="A25" s="422" t="s">
        <v>193</v>
      </c>
      <c r="B25" s="423"/>
      <c r="C25" s="144" t="s">
        <v>194</v>
      </c>
      <c r="D25" s="145" t="s">
        <v>195</v>
      </c>
      <c r="E25" s="424" t="s">
        <v>196</v>
      </c>
      <c r="F25" s="425"/>
      <c r="G25" s="426" t="s">
        <v>197</v>
      </c>
      <c r="H25" s="427"/>
      <c r="I25" s="215" t="s">
        <v>152</v>
      </c>
      <c r="J25" s="397"/>
      <c r="K25" s="406"/>
    </row>
    <row r="26" spans="1:12" s="148" customFormat="1" ht="15" customHeight="1" x14ac:dyDescent="0.2">
      <c r="A26" s="422" t="s">
        <v>198</v>
      </c>
      <c r="B26" s="442"/>
      <c r="C26" s="144" t="s">
        <v>199</v>
      </c>
      <c r="D26" s="145" t="s">
        <v>200</v>
      </c>
      <c r="E26" s="443" t="s">
        <v>201</v>
      </c>
      <c r="F26" s="444"/>
      <c r="G26" s="445" t="s">
        <v>202</v>
      </c>
      <c r="H26" s="446"/>
      <c r="I26" s="215" t="s">
        <v>133</v>
      </c>
      <c r="J26" s="397"/>
      <c r="K26" s="406"/>
      <c r="L26" s="149"/>
    </row>
    <row r="27" spans="1:12" s="148" customFormat="1" ht="15" customHeight="1" x14ac:dyDescent="0.2">
      <c r="A27" s="412" t="s">
        <v>203</v>
      </c>
      <c r="B27" s="413"/>
      <c r="C27" s="416" t="s">
        <v>204</v>
      </c>
      <c r="D27" s="399" t="s">
        <v>205</v>
      </c>
      <c r="E27" s="401" t="s">
        <v>206</v>
      </c>
      <c r="F27" s="402"/>
      <c r="G27" s="418" t="s">
        <v>207</v>
      </c>
      <c r="H27" s="419"/>
      <c r="I27" s="215" t="s">
        <v>145</v>
      </c>
      <c r="J27" s="397"/>
      <c r="K27" s="406"/>
    </row>
    <row r="28" spans="1:12" s="148" customFormat="1" ht="15" customHeight="1" x14ac:dyDescent="0.2">
      <c r="A28" s="414"/>
      <c r="B28" s="415"/>
      <c r="C28" s="417"/>
      <c r="D28" s="400"/>
      <c r="E28" s="403"/>
      <c r="F28" s="404"/>
      <c r="G28" s="420"/>
      <c r="H28" s="421"/>
      <c r="I28" s="215" t="s">
        <v>133</v>
      </c>
      <c r="J28" s="397"/>
      <c r="K28" s="406"/>
    </row>
    <row r="29" spans="1:12" s="148" customFormat="1" ht="15" customHeight="1" x14ac:dyDescent="0.2">
      <c r="A29" s="422" t="s">
        <v>208</v>
      </c>
      <c r="B29" s="423"/>
      <c r="C29" s="144" t="s">
        <v>209</v>
      </c>
      <c r="D29" s="145" t="s">
        <v>210</v>
      </c>
      <c r="E29" s="424" t="s">
        <v>211</v>
      </c>
      <c r="F29" s="425"/>
      <c r="G29" s="426" t="s">
        <v>212</v>
      </c>
      <c r="H29" s="427"/>
      <c r="I29" s="215" t="s">
        <v>213</v>
      </c>
      <c r="J29" s="397"/>
      <c r="K29" s="406"/>
    </row>
    <row r="30" spans="1:12" s="148" customFormat="1" ht="15" customHeight="1" x14ac:dyDescent="0.2">
      <c r="A30" s="422" t="s">
        <v>214</v>
      </c>
      <c r="B30" s="423"/>
      <c r="C30" s="144" t="s">
        <v>215</v>
      </c>
      <c r="D30" s="145" t="s">
        <v>216</v>
      </c>
      <c r="E30" s="424" t="s">
        <v>217</v>
      </c>
      <c r="F30" s="425"/>
      <c r="G30" s="426" t="s">
        <v>218</v>
      </c>
      <c r="H30" s="427"/>
      <c r="I30" s="215" t="s">
        <v>180</v>
      </c>
      <c r="J30" s="397"/>
      <c r="K30" s="406"/>
    </row>
    <row r="31" spans="1:12" s="148" customFormat="1" ht="15" customHeight="1" x14ac:dyDescent="0.2">
      <c r="A31" s="422" t="s">
        <v>219</v>
      </c>
      <c r="B31" s="423"/>
      <c r="C31" s="144" t="s">
        <v>220</v>
      </c>
      <c r="D31" s="145" t="s">
        <v>221</v>
      </c>
      <c r="E31" s="424" t="s">
        <v>222</v>
      </c>
      <c r="F31" s="425"/>
      <c r="G31" s="426" t="s">
        <v>223</v>
      </c>
      <c r="H31" s="427"/>
      <c r="I31" s="215" t="s">
        <v>145</v>
      </c>
      <c r="J31" s="397"/>
      <c r="K31" s="406"/>
    </row>
    <row r="32" spans="1:12" s="148" customFormat="1" ht="15" customHeight="1" x14ac:dyDescent="0.2">
      <c r="A32" s="422" t="s">
        <v>224</v>
      </c>
      <c r="B32" s="423"/>
      <c r="C32" s="144" t="s">
        <v>225</v>
      </c>
      <c r="D32" s="145" t="s">
        <v>226</v>
      </c>
      <c r="E32" s="424" t="s">
        <v>227</v>
      </c>
      <c r="F32" s="434"/>
      <c r="G32" s="426" t="s">
        <v>228</v>
      </c>
      <c r="H32" s="427"/>
      <c r="I32" s="215" t="s">
        <v>145</v>
      </c>
      <c r="J32" s="397"/>
      <c r="K32" s="406"/>
    </row>
    <row r="33" spans="1:13" s="148" customFormat="1" ht="15" customHeight="1" x14ac:dyDescent="0.2">
      <c r="A33" s="422" t="s">
        <v>229</v>
      </c>
      <c r="B33" s="423"/>
      <c r="C33" s="144" t="s">
        <v>230</v>
      </c>
      <c r="D33" s="145" t="s">
        <v>231</v>
      </c>
      <c r="E33" s="424" t="s">
        <v>232</v>
      </c>
      <c r="F33" s="425"/>
      <c r="G33" s="426" t="s">
        <v>233</v>
      </c>
      <c r="H33" s="427"/>
      <c r="I33" s="215" t="s">
        <v>213</v>
      </c>
      <c r="J33" s="397"/>
      <c r="K33" s="406"/>
    </row>
    <row r="34" spans="1:13" s="148" customFormat="1" ht="15" customHeight="1" x14ac:dyDescent="0.2">
      <c r="A34" s="422" t="s">
        <v>234</v>
      </c>
      <c r="B34" s="423"/>
      <c r="C34" s="144" t="s">
        <v>235</v>
      </c>
      <c r="D34" s="145" t="s">
        <v>236</v>
      </c>
      <c r="E34" s="424" t="s">
        <v>237</v>
      </c>
      <c r="F34" s="425"/>
      <c r="G34" s="426" t="s">
        <v>238</v>
      </c>
      <c r="H34" s="427"/>
      <c r="I34" s="215" t="s">
        <v>213</v>
      </c>
      <c r="J34" s="397"/>
      <c r="K34" s="406"/>
    </row>
    <row r="35" spans="1:13" s="148" customFormat="1" ht="15" customHeight="1" x14ac:dyDescent="0.2">
      <c r="A35" s="422" t="s">
        <v>239</v>
      </c>
      <c r="B35" s="423"/>
      <c r="C35" s="144" t="s">
        <v>240</v>
      </c>
      <c r="D35" s="145" t="s">
        <v>241</v>
      </c>
      <c r="E35" s="424" t="s">
        <v>242</v>
      </c>
      <c r="F35" s="425"/>
      <c r="G35" s="426" t="s">
        <v>243</v>
      </c>
      <c r="H35" s="427"/>
      <c r="I35" s="215" t="s">
        <v>213</v>
      </c>
      <c r="J35" s="397"/>
      <c r="K35" s="406"/>
    </row>
    <row r="36" spans="1:13" s="148" customFormat="1" ht="15" customHeight="1" x14ac:dyDescent="0.2">
      <c r="A36" s="422" t="s">
        <v>244</v>
      </c>
      <c r="B36" s="423"/>
      <c r="C36" s="144" t="s">
        <v>245</v>
      </c>
      <c r="D36" s="145" t="s">
        <v>246</v>
      </c>
      <c r="E36" s="424" t="s">
        <v>247</v>
      </c>
      <c r="F36" s="425"/>
      <c r="G36" s="426" t="s">
        <v>248</v>
      </c>
      <c r="H36" s="427"/>
      <c r="I36" s="215" t="s">
        <v>249</v>
      </c>
      <c r="J36" s="397"/>
      <c r="K36" s="406"/>
    </row>
    <row r="37" spans="1:13" s="148" customFormat="1" ht="15" customHeight="1" x14ac:dyDescent="0.2">
      <c r="A37" s="422" t="s">
        <v>250</v>
      </c>
      <c r="B37" s="423"/>
      <c r="C37" s="144" t="s">
        <v>251</v>
      </c>
      <c r="D37" s="145" t="s">
        <v>252</v>
      </c>
      <c r="E37" s="424" t="s">
        <v>253</v>
      </c>
      <c r="F37" s="425"/>
      <c r="G37" s="426" t="s">
        <v>254</v>
      </c>
      <c r="H37" s="427"/>
      <c r="I37" s="215" t="s">
        <v>255</v>
      </c>
      <c r="J37" s="397"/>
      <c r="K37" s="406"/>
    </row>
    <row r="38" spans="1:13" s="148" customFormat="1" ht="15" customHeight="1" x14ac:dyDescent="0.2">
      <c r="A38" s="422" t="s">
        <v>256</v>
      </c>
      <c r="B38" s="423"/>
      <c r="C38" s="142" t="s">
        <v>257</v>
      </c>
      <c r="D38" s="143" t="s">
        <v>258</v>
      </c>
      <c r="E38" s="424" t="s">
        <v>259</v>
      </c>
      <c r="F38" s="425"/>
      <c r="G38" s="426" t="s">
        <v>260</v>
      </c>
      <c r="H38" s="427"/>
      <c r="I38" s="215" t="s">
        <v>213</v>
      </c>
      <c r="J38" s="398"/>
      <c r="K38" s="407"/>
    </row>
    <row r="39" spans="1:13" s="148" customFormat="1" ht="3.75" customHeight="1" x14ac:dyDescent="0.2">
      <c r="C39" s="150"/>
      <c r="D39" s="150"/>
      <c r="E39" s="150"/>
      <c r="F39" s="150"/>
      <c r="G39" s="150"/>
      <c r="H39" s="150"/>
    </row>
    <row r="40" spans="1:13" s="148" customFormat="1" ht="15" customHeight="1" x14ac:dyDescent="0.2">
      <c r="A40" s="447" t="s">
        <v>261</v>
      </c>
      <c r="B40" s="448"/>
      <c r="C40" s="448"/>
      <c r="D40" s="448"/>
      <c r="E40" s="448"/>
      <c r="F40" s="448"/>
      <c r="G40" s="448"/>
      <c r="H40" s="448"/>
      <c r="I40" s="448"/>
      <c r="J40" s="448"/>
      <c r="K40" s="449"/>
    </row>
    <row r="41" spans="1:13" s="148" customFormat="1" ht="15" customHeight="1" x14ac:dyDescent="0.2">
      <c r="A41" s="450"/>
      <c r="B41" s="451"/>
      <c r="C41" s="451"/>
      <c r="D41" s="451"/>
      <c r="E41" s="451"/>
      <c r="F41" s="451"/>
      <c r="G41" s="451"/>
      <c r="H41" s="451"/>
      <c r="I41" s="451"/>
      <c r="J41" s="451"/>
      <c r="K41" s="452"/>
    </row>
    <row r="42" spans="1:13" s="148" customFormat="1" ht="15" customHeight="1" x14ac:dyDescent="0.2">
      <c r="A42" s="453"/>
      <c r="B42" s="454"/>
      <c r="C42" s="454"/>
      <c r="D42" s="454"/>
      <c r="E42" s="454"/>
      <c r="F42" s="454"/>
      <c r="G42" s="454"/>
      <c r="H42" s="454"/>
      <c r="I42" s="454"/>
      <c r="J42" s="454"/>
      <c r="K42" s="455"/>
    </row>
    <row r="43" spans="1:13" s="148" customFormat="1" ht="15" customHeight="1" x14ac:dyDescent="0.2">
      <c r="A43" s="151"/>
      <c r="B43" s="456" t="s">
        <v>262</v>
      </c>
      <c r="C43" s="457"/>
      <c r="D43" s="456" t="s">
        <v>263</v>
      </c>
      <c r="E43" s="457"/>
      <c r="F43" s="456" t="s">
        <v>264</v>
      </c>
      <c r="G43" s="457"/>
      <c r="H43" s="456" t="s">
        <v>265</v>
      </c>
      <c r="I43" s="457"/>
      <c r="J43" s="456" t="s">
        <v>266</v>
      </c>
      <c r="K43" s="457"/>
    </row>
    <row r="44" spans="1:13" x14ac:dyDescent="0.2">
      <c r="A44" s="458" t="s">
        <v>267</v>
      </c>
      <c r="B44" s="460" t="s">
        <v>268</v>
      </c>
      <c r="C44" s="461"/>
      <c r="D44" s="460" t="s">
        <v>269</v>
      </c>
      <c r="E44" s="462"/>
      <c r="F44" s="463" t="s">
        <v>270</v>
      </c>
      <c r="G44" s="464"/>
      <c r="H44" s="460" t="s">
        <v>271</v>
      </c>
      <c r="I44" s="462"/>
      <c r="J44" s="460" t="s">
        <v>272</v>
      </c>
      <c r="K44" s="462"/>
      <c r="L44" s="152"/>
    </row>
    <row r="45" spans="1:13" x14ac:dyDescent="0.2">
      <c r="A45" s="459"/>
      <c r="B45" s="465" t="s">
        <v>273</v>
      </c>
      <c r="C45" s="466"/>
      <c r="D45" s="465" t="s">
        <v>274</v>
      </c>
      <c r="E45" s="466"/>
      <c r="F45" s="465" t="s">
        <v>275</v>
      </c>
      <c r="G45" s="466"/>
      <c r="H45" s="465" t="s">
        <v>276</v>
      </c>
      <c r="I45" s="466"/>
      <c r="J45" s="465" t="s">
        <v>277</v>
      </c>
      <c r="K45" s="466"/>
    </row>
    <row r="46" spans="1:13" x14ac:dyDescent="0.2">
      <c r="A46" s="459"/>
      <c r="B46" s="465" t="s">
        <v>278</v>
      </c>
      <c r="C46" s="466"/>
      <c r="D46" s="467" t="s">
        <v>279</v>
      </c>
      <c r="E46" s="468"/>
      <c r="F46" s="465" t="s">
        <v>280</v>
      </c>
      <c r="G46" s="469"/>
      <c r="H46" s="465" t="s">
        <v>281</v>
      </c>
      <c r="I46" s="469"/>
      <c r="J46" s="465" t="s">
        <v>282</v>
      </c>
      <c r="K46" s="469"/>
    </row>
    <row r="47" spans="1:13" x14ac:dyDescent="0.2">
      <c r="A47" s="459"/>
      <c r="B47" s="470"/>
      <c r="C47" s="471"/>
      <c r="D47" s="470"/>
      <c r="E47" s="471"/>
      <c r="F47" s="470"/>
      <c r="G47" s="471"/>
      <c r="H47" s="470"/>
      <c r="I47" s="471"/>
      <c r="J47" s="470" t="s">
        <v>283</v>
      </c>
      <c r="K47" s="471"/>
    </row>
    <row r="48" spans="1:13" x14ac:dyDescent="0.2">
      <c r="A48" s="458" t="s">
        <v>284</v>
      </c>
      <c r="B48" s="467" t="s">
        <v>285</v>
      </c>
      <c r="C48" s="472"/>
      <c r="D48" s="463" t="s">
        <v>286</v>
      </c>
      <c r="E48" s="464"/>
      <c r="F48" s="463" t="s">
        <v>270</v>
      </c>
      <c r="G48" s="464"/>
      <c r="H48" s="460" t="s">
        <v>287</v>
      </c>
      <c r="I48" s="462"/>
      <c r="J48" s="460"/>
      <c r="K48" s="461"/>
      <c r="M48" s="152"/>
    </row>
    <row r="49" spans="1:11" x14ac:dyDescent="0.2">
      <c r="A49" s="458"/>
      <c r="B49" s="465" t="s">
        <v>288</v>
      </c>
      <c r="C49" s="466"/>
      <c r="D49" s="465" t="s">
        <v>289</v>
      </c>
      <c r="E49" s="466"/>
      <c r="F49" s="465"/>
      <c r="G49" s="466"/>
      <c r="H49" s="465" t="s">
        <v>290</v>
      </c>
      <c r="I49" s="466"/>
      <c r="J49" s="465"/>
      <c r="K49" s="466"/>
    </row>
    <row r="50" spans="1:11" x14ac:dyDescent="0.2">
      <c r="A50" s="458"/>
      <c r="B50" s="465" t="s">
        <v>291</v>
      </c>
      <c r="C50" s="473"/>
      <c r="D50" s="465" t="s">
        <v>292</v>
      </c>
      <c r="E50" s="473"/>
      <c r="F50" s="465"/>
      <c r="G50" s="469"/>
      <c r="H50" s="465" t="s">
        <v>293</v>
      </c>
      <c r="I50" s="469"/>
      <c r="J50" s="465"/>
      <c r="K50" s="469"/>
    </row>
    <row r="51" spans="1:11" x14ac:dyDescent="0.2">
      <c r="A51" s="458"/>
      <c r="B51" s="474"/>
      <c r="C51" s="475"/>
      <c r="D51" s="465"/>
      <c r="E51" s="466"/>
      <c r="F51" s="470"/>
      <c r="G51" s="471"/>
      <c r="H51" s="470"/>
      <c r="I51" s="471"/>
      <c r="J51" s="470"/>
      <c r="K51" s="471"/>
    </row>
    <row r="52" spans="1:11" x14ac:dyDescent="0.2">
      <c r="A52" s="458" t="s">
        <v>294</v>
      </c>
      <c r="B52" s="460" t="s">
        <v>295</v>
      </c>
      <c r="C52" s="462"/>
      <c r="D52" s="460" t="s">
        <v>296</v>
      </c>
      <c r="E52" s="462"/>
      <c r="F52" s="463" t="s">
        <v>297</v>
      </c>
      <c r="G52" s="464"/>
      <c r="H52" s="460" t="s">
        <v>298</v>
      </c>
      <c r="I52" s="462"/>
      <c r="J52" s="460" t="s">
        <v>299</v>
      </c>
      <c r="K52" s="462"/>
    </row>
    <row r="53" spans="1:11" x14ac:dyDescent="0.2">
      <c r="A53" s="459"/>
      <c r="B53" s="465" t="s">
        <v>300</v>
      </c>
      <c r="C53" s="466"/>
      <c r="D53" s="465" t="s">
        <v>301</v>
      </c>
      <c r="E53" s="466"/>
      <c r="F53" s="465" t="s">
        <v>302</v>
      </c>
      <c r="G53" s="466"/>
      <c r="H53" s="465" t="s">
        <v>303</v>
      </c>
      <c r="I53" s="466"/>
      <c r="J53" s="465" t="s">
        <v>304</v>
      </c>
      <c r="K53" s="466"/>
    </row>
    <row r="54" spans="1:11" x14ac:dyDescent="0.2">
      <c r="A54" s="459"/>
      <c r="B54" s="465" t="s">
        <v>305</v>
      </c>
      <c r="C54" s="469"/>
      <c r="D54" s="465" t="s">
        <v>306</v>
      </c>
      <c r="E54" s="466"/>
      <c r="F54" s="465" t="s">
        <v>307</v>
      </c>
      <c r="G54" s="466"/>
      <c r="H54" s="465"/>
      <c r="I54" s="469"/>
      <c r="J54" s="465" t="s">
        <v>308</v>
      </c>
      <c r="K54" s="469"/>
    </row>
    <row r="55" spans="1:11" x14ac:dyDescent="0.2">
      <c r="A55" s="459"/>
      <c r="B55" s="470" t="s">
        <v>309</v>
      </c>
      <c r="C55" s="471"/>
      <c r="D55" s="470"/>
      <c r="E55" s="471"/>
      <c r="F55" s="470"/>
      <c r="G55" s="471"/>
      <c r="H55" s="470"/>
      <c r="I55" s="471"/>
      <c r="J55" s="470" t="s">
        <v>310</v>
      </c>
      <c r="K55" s="471"/>
    </row>
    <row r="56" spans="1:11" ht="6" customHeight="1" x14ac:dyDescent="0.2"/>
    <row r="57" spans="1:11" ht="12" customHeight="1" x14ac:dyDescent="0.2"/>
    <row r="58" spans="1:11" ht="12" customHeight="1" x14ac:dyDescent="0.2"/>
    <row r="60" spans="1:11" x14ac:dyDescent="0.2">
      <c r="B60" s="479"/>
      <c r="C60" s="479"/>
      <c r="D60" s="479"/>
      <c r="E60" s="479"/>
      <c r="F60" s="479"/>
    </row>
    <row r="61" spans="1:11" x14ac:dyDescent="0.2">
      <c r="B61" s="137"/>
      <c r="C61" s="137"/>
      <c r="D61" s="137"/>
      <c r="E61" s="137"/>
      <c r="F61" s="137"/>
    </row>
    <row r="62" spans="1:11" x14ac:dyDescent="0.2">
      <c r="A62" s="478" t="s">
        <v>461</v>
      </c>
      <c r="B62" s="477"/>
      <c r="C62" s="477"/>
      <c r="D62" s="477"/>
      <c r="E62" s="477"/>
      <c r="F62" s="477"/>
      <c r="G62" s="477"/>
    </row>
    <row r="63" spans="1:11" x14ac:dyDescent="0.2">
      <c r="A63" s="478" t="s">
        <v>311</v>
      </c>
      <c r="B63" s="477"/>
      <c r="C63" s="477"/>
      <c r="D63" s="477"/>
      <c r="E63" s="477"/>
      <c r="F63" s="477"/>
      <c r="G63" s="477"/>
    </row>
    <row r="64" spans="1:11" x14ac:dyDescent="0.2">
      <c r="A64" s="478" t="s">
        <v>312</v>
      </c>
      <c r="B64" s="477"/>
      <c r="C64" s="477"/>
      <c r="D64" s="477"/>
      <c r="E64" s="477"/>
      <c r="F64" s="477"/>
      <c r="G64" s="477"/>
    </row>
    <row r="65" spans="1:7" x14ac:dyDescent="0.2">
      <c r="A65" s="476" t="s">
        <v>313</v>
      </c>
      <c r="B65" s="477"/>
      <c r="C65" s="477"/>
      <c r="D65" s="477"/>
      <c r="E65" s="477"/>
      <c r="F65" s="477"/>
      <c r="G65" s="477"/>
    </row>
    <row r="66" spans="1:7" x14ac:dyDescent="0.2">
      <c r="A66" s="476" t="s">
        <v>314</v>
      </c>
      <c r="B66" s="477"/>
      <c r="C66" s="477"/>
      <c r="D66" s="477"/>
      <c r="E66" s="477"/>
      <c r="F66" s="477"/>
      <c r="G66" s="477"/>
    </row>
    <row r="67" spans="1:7" x14ac:dyDescent="0.2">
      <c r="A67" s="478" t="s">
        <v>315</v>
      </c>
      <c r="B67" s="477"/>
      <c r="C67" s="477"/>
      <c r="D67" s="477"/>
      <c r="E67" s="477"/>
      <c r="F67" s="477"/>
      <c r="G67" s="477"/>
    </row>
  </sheetData>
  <mergeCells count="164">
    <mergeCell ref="A65:G65"/>
    <mergeCell ref="A66:G66"/>
    <mergeCell ref="A67:G67"/>
    <mergeCell ref="B60:F60"/>
    <mergeCell ref="A62:G62"/>
    <mergeCell ref="A63:G63"/>
    <mergeCell ref="A64:G64"/>
    <mergeCell ref="H54:I54"/>
    <mergeCell ref="J54:K54"/>
    <mergeCell ref="B55:C55"/>
    <mergeCell ref="D55:E55"/>
    <mergeCell ref="F55:G55"/>
    <mergeCell ref="H55:I55"/>
    <mergeCell ref="J55:K55"/>
    <mergeCell ref="H52:I52"/>
    <mergeCell ref="J52:K52"/>
    <mergeCell ref="B53:C53"/>
    <mergeCell ref="D53:E53"/>
    <mergeCell ref="F53:G53"/>
    <mergeCell ref="H53:I53"/>
    <mergeCell ref="J53:K53"/>
    <mergeCell ref="A52:A55"/>
    <mergeCell ref="B52:C52"/>
    <mergeCell ref="D52:E52"/>
    <mergeCell ref="F52:G52"/>
    <mergeCell ref="B54:C54"/>
    <mergeCell ref="D54:E54"/>
    <mergeCell ref="F54:G54"/>
    <mergeCell ref="H50:I50"/>
    <mergeCell ref="J50:K50"/>
    <mergeCell ref="B51:C51"/>
    <mergeCell ref="D51:E51"/>
    <mergeCell ref="F51:G51"/>
    <mergeCell ref="H51:I51"/>
    <mergeCell ref="J51:K51"/>
    <mergeCell ref="H48:I48"/>
    <mergeCell ref="J48:K48"/>
    <mergeCell ref="B49:C49"/>
    <mergeCell ref="D49:E49"/>
    <mergeCell ref="F49:G49"/>
    <mergeCell ref="H49:I49"/>
    <mergeCell ref="J49:K49"/>
    <mergeCell ref="A48:A51"/>
    <mergeCell ref="B48:C48"/>
    <mergeCell ref="D48:E48"/>
    <mergeCell ref="F48:G48"/>
    <mergeCell ref="B50:C50"/>
    <mergeCell ref="D50:E50"/>
    <mergeCell ref="F50:G50"/>
    <mergeCell ref="H46:I46"/>
    <mergeCell ref="J46:K46"/>
    <mergeCell ref="B47:C47"/>
    <mergeCell ref="D47:E47"/>
    <mergeCell ref="F47:G47"/>
    <mergeCell ref="H47:I47"/>
    <mergeCell ref="J47:K47"/>
    <mergeCell ref="H44:I44"/>
    <mergeCell ref="J44:K44"/>
    <mergeCell ref="B45:C45"/>
    <mergeCell ref="D45:E45"/>
    <mergeCell ref="F45:G45"/>
    <mergeCell ref="H45:I45"/>
    <mergeCell ref="J45:K45"/>
    <mergeCell ref="A44:A47"/>
    <mergeCell ref="B44:C44"/>
    <mergeCell ref="D44:E44"/>
    <mergeCell ref="F44:G44"/>
    <mergeCell ref="B46:C46"/>
    <mergeCell ref="D46:E46"/>
    <mergeCell ref="F46:G46"/>
    <mergeCell ref="A40:K42"/>
    <mergeCell ref="B43:C43"/>
    <mergeCell ref="D43:E43"/>
    <mergeCell ref="F43:G43"/>
    <mergeCell ref="H43:I43"/>
    <mergeCell ref="J43:K43"/>
    <mergeCell ref="A37:B37"/>
    <mergeCell ref="E37:F37"/>
    <mergeCell ref="G37:H37"/>
    <mergeCell ref="A38:B38"/>
    <mergeCell ref="E38:F38"/>
    <mergeCell ref="G38:H38"/>
    <mergeCell ref="A35:B35"/>
    <mergeCell ref="E35:F35"/>
    <mergeCell ref="G35:H35"/>
    <mergeCell ref="A36:B36"/>
    <mergeCell ref="E36:F36"/>
    <mergeCell ref="G36:H36"/>
    <mergeCell ref="A33:B33"/>
    <mergeCell ref="E33:F33"/>
    <mergeCell ref="G33:H33"/>
    <mergeCell ref="A34:B34"/>
    <mergeCell ref="E34:F34"/>
    <mergeCell ref="G34:H34"/>
    <mergeCell ref="A31:B31"/>
    <mergeCell ref="E31:F31"/>
    <mergeCell ref="G31:H31"/>
    <mergeCell ref="A32:B32"/>
    <mergeCell ref="E32:F32"/>
    <mergeCell ref="G32:H32"/>
    <mergeCell ref="A29:B29"/>
    <mergeCell ref="E29:F29"/>
    <mergeCell ref="G29:H29"/>
    <mergeCell ref="A30:B30"/>
    <mergeCell ref="E30:F30"/>
    <mergeCell ref="G30:H30"/>
    <mergeCell ref="E23:F24"/>
    <mergeCell ref="A26:B26"/>
    <mergeCell ref="E26:F26"/>
    <mergeCell ref="G26:H26"/>
    <mergeCell ref="A27:B28"/>
    <mergeCell ref="C27:C28"/>
    <mergeCell ref="D27:D28"/>
    <mergeCell ref="E27:F28"/>
    <mergeCell ref="G27:H28"/>
    <mergeCell ref="A22:B22"/>
    <mergeCell ref="E22:F22"/>
    <mergeCell ref="G22:H22"/>
    <mergeCell ref="G23:H24"/>
    <mergeCell ref="A25:B25"/>
    <mergeCell ref="E25:F25"/>
    <mergeCell ref="G25:H25"/>
    <mergeCell ref="A23:B24"/>
    <mergeCell ref="C23:C24"/>
    <mergeCell ref="D23:D24"/>
    <mergeCell ref="A20:B20"/>
    <mergeCell ref="E20:F20"/>
    <mergeCell ref="G20:H20"/>
    <mergeCell ref="A21:B21"/>
    <mergeCell ref="E21:F21"/>
    <mergeCell ref="G21:H21"/>
    <mergeCell ref="A18:B18"/>
    <mergeCell ref="E18:F18"/>
    <mergeCell ref="G18:H18"/>
    <mergeCell ref="A19:B19"/>
    <mergeCell ref="E19:F19"/>
    <mergeCell ref="G19:H19"/>
    <mergeCell ref="G14:H15"/>
    <mergeCell ref="A16:B16"/>
    <mergeCell ref="E16:F16"/>
    <mergeCell ref="G16:H16"/>
    <mergeCell ref="A17:B17"/>
    <mergeCell ref="E17:F17"/>
    <mergeCell ref="G17:H17"/>
    <mergeCell ref="K10:K38"/>
    <mergeCell ref="E11:F11"/>
    <mergeCell ref="G11:H11"/>
    <mergeCell ref="A12:B13"/>
    <mergeCell ref="C12:C13"/>
    <mergeCell ref="D12:D13"/>
    <mergeCell ref="E12:F13"/>
    <mergeCell ref="G12:H13"/>
    <mergeCell ref="A14:B15"/>
    <mergeCell ref="C14:C15"/>
    <mergeCell ref="B6:J7"/>
    <mergeCell ref="A9:B9"/>
    <mergeCell ref="A10:B11"/>
    <mergeCell ref="C10:C11"/>
    <mergeCell ref="D10:D11"/>
    <mergeCell ref="E10:F10"/>
    <mergeCell ref="G10:H10"/>
    <mergeCell ref="J10:J38"/>
    <mergeCell ref="D14:D15"/>
    <mergeCell ref="E14:F15"/>
  </mergeCells>
  <phoneticPr fontId="3"/>
  <pageMargins left="0.82677165354330706" right="0.23622047244094488" top="0.74803149606299213" bottom="0.74803149606299213" header="0.31496062992125984" footer="0.31496062992125984"/>
  <pageSetup paperSize="9" scale="86"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043-5A0D-4F13-87A7-5C69B0FF1EB3}">
  <dimension ref="A1:J58"/>
  <sheetViews>
    <sheetView topLeftCell="A16" workbookViewId="0">
      <selection activeCell="I54" sqref="I54"/>
    </sheetView>
  </sheetViews>
  <sheetFormatPr defaultColWidth="9" defaultRowHeight="13" x14ac:dyDescent="0.2"/>
  <cols>
    <col min="1" max="1" width="5.08984375" customWidth="1"/>
    <col min="2" max="2" width="8.7265625" customWidth="1"/>
    <col min="3" max="3" width="6.08984375" customWidth="1"/>
    <col min="4" max="10" width="8.7265625" customWidth="1"/>
    <col min="11" max="16384" width="9" style="136"/>
  </cols>
  <sheetData>
    <row r="1" spans="1:10" ht="13.5" customHeight="1" x14ac:dyDescent="0.2">
      <c r="A1" s="517" t="s">
        <v>367</v>
      </c>
      <c r="B1" s="517"/>
      <c r="C1" s="517"/>
      <c r="D1" s="517"/>
      <c r="E1" s="517"/>
    </row>
    <row r="2" spans="1:10" x14ac:dyDescent="0.2">
      <c r="A2" s="517"/>
      <c r="B2" s="517"/>
      <c r="C2" s="517"/>
      <c r="D2" s="517"/>
      <c r="E2" s="517"/>
    </row>
    <row r="3" spans="1:10" x14ac:dyDescent="0.2">
      <c r="B3" s="518" t="s">
        <v>368</v>
      </c>
      <c r="C3" s="518"/>
      <c r="D3" s="518"/>
      <c r="E3" s="518"/>
      <c r="F3" s="518"/>
      <c r="G3" s="518"/>
      <c r="H3" s="518"/>
      <c r="I3" s="518"/>
    </row>
    <row r="4" spans="1:10" x14ac:dyDescent="0.2">
      <c r="B4" s="518"/>
      <c r="C4" s="518"/>
      <c r="D4" s="518"/>
      <c r="E4" s="518"/>
      <c r="F4" s="518"/>
      <c r="G4" s="518"/>
      <c r="H4" s="518"/>
      <c r="I4" s="518"/>
    </row>
    <row r="5" spans="1:10" ht="13.5" thickBot="1" x14ac:dyDescent="0.25"/>
    <row r="6" spans="1:10" ht="13.5" customHeight="1" x14ac:dyDescent="0.2">
      <c r="A6" s="519" t="s">
        <v>369</v>
      </c>
      <c r="B6" s="515"/>
      <c r="C6" s="516"/>
      <c r="D6" s="515" t="s">
        <v>370</v>
      </c>
      <c r="E6" s="515"/>
      <c r="F6" s="515"/>
      <c r="G6" s="515"/>
      <c r="H6" s="515"/>
      <c r="I6" s="515"/>
      <c r="J6" s="516"/>
    </row>
    <row r="7" spans="1:10" ht="13.5" customHeight="1" thickBot="1" x14ac:dyDescent="0.25">
      <c r="A7" s="520"/>
      <c r="B7" s="501"/>
      <c r="C7" s="502"/>
      <c r="D7" s="501"/>
      <c r="E7" s="501"/>
      <c r="F7" s="501"/>
      <c r="G7" s="501"/>
      <c r="H7" s="501"/>
      <c r="I7" s="501"/>
      <c r="J7" s="502"/>
    </row>
    <row r="8" spans="1:10" ht="11.25" customHeight="1" x14ac:dyDescent="0.2">
      <c r="A8" s="530" t="s">
        <v>371</v>
      </c>
      <c r="B8" s="519" t="s">
        <v>372</v>
      </c>
      <c r="C8" s="516"/>
      <c r="D8" s="515"/>
      <c r="E8" s="515"/>
      <c r="F8" s="515"/>
      <c r="G8" s="515"/>
      <c r="H8" s="516"/>
      <c r="I8" s="524" t="s">
        <v>373</v>
      </c>
      <c r="J8" s="525"/>
    </row>
    <row r="9" spans="1:10" ht="13.5" thickBot="1" x14ac:dyDescent="0.25">
      <c r="A9" s="528"/>
      <c r="B9" s="521"/>
      <c r="C9" s="504"/>
      <c r="D9" s="503"/>
      <c r="E9" s="503"/>
      <c r="F9" s="503"/>
      <c r="G9" s="503"/>
      <c r="H9" s="504"/>
      <c r="I9" s="526"/>
      <c r="J9" s="527"/>
    </row>
    <row r="10" spans="1:10" x14ac:dyDescent="0.2">
      <c r="A10" s="528" t="s">
        <v>374</v>
      </c>
      <c r="B10" s="501" t="s">
        <v>375</v>
      </c>
      <c r="C10" s="502"/>
      <c r="D10" s="501"/>
      <c r="E10" s="501"/>
      <c r="F10" s="501"/>
      <c r="G10" s="501"/>
      <c r="H10" s="501"/>
      <c r="I10" s="501"/>
      <c r="J10" s="502"/>
    </row>
    <row r="11" spans="1:10" ht="13.5" thickBot="1" x14ac:dyDescent="0.25">
      <c r="A11" s="529"/>
      <c r="B11" s="501"/>
      <c r="C11" s="502"/>
      <c r="D11" s="501"/>
      <c r="E11" s="501"/>
      <c r="F11" s="501"/>
      <c r="G11" s="501"/>
      <c r="H11" s="501"/>
      <c r="I11" s="501"/>
      <c r="J11" s="502"/>
    </row>
    <row r="12" spans="1:10" ht="13.5" thickBot="1" x14ac:dyDescent="0.25">
      <c r="A12" s="166"/>
      <c r="B12" s="496" t="s">
        <v>376</v>
      </c>
      <c r="C12" s="497"/>
      <c r="D12" s="498"/>
      <c r="E12" s="498"/>
      <c r="F12" s="498"/>
      <c r="G12" s="498"/>
      <c r="H12" s="498"/>
      <c r="I12" s="498"/>
      <c r="J12" s="497"/>
    </row>
    <row r="13" spans="1:10" x14ac:dyDescent="0.2">
      <c r="A13" s="167" t="s">
        <v>377</v>
      </c>
      <c r="B13" s="501" t="s">
        <v>378</v>
      </c>
      <c r="C13" s="502"/>
      <c r="D13" s="501"/>
      <c r="E13" s="501"/>
      <c r="F13" s="501"/>
      <c r="G13" s="501"/>
      <c r="H13" s="501"/>
      <c r="I13" s="501"/>
      <c r="J13" s="502"/>
    </row>
    <row r="14" spans="1:10" ht="13.5" thickBot="1" x14ac:dyDescent="0.25">
      <c r="A14" s="167" t="s">
        <v>379</v>
      </c>
      <c r="B14" s="501"/>
      <c r="C14" s="502"/>
      <c r="D14" s="501"/>
      <c r="E14" s="501"/>
      <c r="F14" s="501"/>
      <c r="G14" s="501"/>
      <c r="H14" s="501"/>
      <c r="I14" s="501"/>
      <c r="J14" s="502"/>
    </row>
    <row r="15" spans="1:10" x14ac:dyDescent="0.2">
      <c r="A15" s="167" t="s">
        <v>79</v>
      </c>
      <c r="B15" s="519" t="s">
        <v>380</v>
      </c>
      <c r="C15" s="516"/>
      <c r="D15" s="515"/>
      <c r="E15" s="515"/>
      <c r="F15" s="515"/>
      <c r="G15" s="515"/>
      <c r="H15" s="515"/>
      <c r="I15" s="515"/>
      <c r="J15" s="516"/>
    </row>
    <row r="16" spans="1:10" ht="13.5" thickBot="1" x14ac:dyDescent="0.25">
      <c r="A16" s="167" t="s">
        <v>381</v>
      </c>
      <c r="B16" s="521"/>
      <c r="C16" s="504"/>
      <c r="D16" s="503"/>
      <c r="E16" s="503"/>
      <c r="F16" s="503"/>
      <c r="G16" s="503"/>
      <c r="H16" s="503"/>
      <c r="I16" s="503"/>
      <c r="J16" s="504"/>
    </row>
    <row r="17" spans="1:10" s="148" customFormat="1" ht="15" customHeight="1" thickBot="1" x14ac:dyDescent="0.25">
      <c r="A17" s="167" t="s">
        <v>382</v>
      </c>
      <c r="B17" s="496" t="s">
        <v>383</v>
      </c>
      <c r="C17" s="497"/>
      <c r="D17" s="498"/>
      <c r="E17" s="498"/>
      <c r="F17" s="498"/>
      <c r="G17" s="168" t="s">
        <v>384</v>
      </c>
      <c r="H17" s="169" t="s">
        <v>385</v>
      </c>
      <c r="I17" s="169" t="s">
        <v>386</v>
      </c>
      <c r="J17" s="170" t="s">
        <v>387</v>
      </c>
    </row>
    <row r="18" spans="1:10" s="148" customFormat="1" ht="15" customHeight="1" thickBot="1" x14ac:dyDescent="0.25">
      <c r="A18" s="171"/>
      <c r="B18" s="503" t="s">
        <v>388</v>
      </c>
      <c r="C18" s="504"/>
      <c r="D18" s="496"/>
      <c r="E18" s="498"/>
      <c r="F18" s="498"/>
      <c r="G18" s="168" t="s">
        <v>389</v>
      </c>
      <c r="H18" s="498" t="s">
        <v>390</v>
      </c>
      <c r="I18" s="498"/>
      <c r="J18" s="497"/>
    </row>
    <row r="19" spans="1:10" s="148" customFormat="1" ht="15" customHeight="1" x14ac:dyDescent="0.2">
      <c r="A19" s="511" t="s">
        <v>391</v>
      </c>
      <c r="B19" s="512"/>
      <c r="C19" s="512"/>
      <c r="D19" s="512"/>
      <c r="E19" s="512"/>
      <c r="F19" s="512"/>
      <c r="G19" s="512"/>
      <c r="H19" s="512"/>
      <c r="I19" s="512"/>
      <c r="J19" s="513"/>
    </row>
    <row r="20" spans="1:10" s="148" customFormat="1" ht="15" customHeight="1" x14ac:dyDescent="0.2">
      <c r="A20" s="172"/>
      <c r="B20" s="499" t="s">
        <v>392</v>
      </c>
      <c r="C20" s="499"/>
      <c r="D20" s="501" t="s">
        <v>393</v>
      </c>
      <c r="E20" s="501"/>
      <c r="F20" s="501"/>
      <c r="G20" s="501"/>
      <c r="H20" s="501"/>
      <c r="I20" s="501"/>
      <c r="J20" s="502"/>
    </row>
    <row r="21" spans="1:10" s="148" customFormat="1" ht="15" customHeight="1" x14ac:dyDescent="0.2">
      <c r="A21" s="173"/>
      <c r="B21" s="514"/>
      <c r="C21" s="514"/>
      <c r="D21" s="522"/>
      <c r="E21" s="522"/>
      <c r="F21" s="522"/>
      <c r="G21" s="522"/>
      <c r="H21" s="522"/>
      <c r="I21" s="522"/>
      <c r="J21" s="523"/>
    </row>
    <row r="22" spans="1:10" s="148" customFormat="1" ht="15" customHeight="1" x14ac:dyDescent="0.2">
      <c r="A22" s="172"/>
      <c r="B22" s="499" t="s">
        <v>394</v>
      </c>
      <c r="C22" s="499"/>
      <c r="D22" s="501" t="s">
        <v>395</v>
      </c>
      <c r="E22" s="501"/>
      <c r="F22" s="501"/>
      <c r="G22" s="501"/>
      <c r="H22" s="501"/>
      <c r="I22" s="501"/>
      <c r="J22" s="502"/>
    </row>
    <row r="23" spans="1:10" s="148" customFormat="1" ht="15" customHeight="1" thickBot="1" x14ac:dyDescent="0.25">
      <c r="A23" s="174"/>
      <c r="B23" s="500"/>
      <c r="C23" s="500"/>
      <c r="D23" s="503"/>
      <c r="E23" s="503"/>
      <c r="F23" s="503"/>
      <c r="G23" s="503"/>
      <c r="H23" s="503"/>
      <c r="I23" s="503"/>
      <c r="J23" s="504"/>
    </row>
    <row r="24" spans="1:10" s="148" customFormat="1" ht="15" customHeight="1" thickBot="1" x14ac:dyDescent="0.25">
      <c r="A24"/>
      <c r="B24"/>
      <c r="C24"/>
      <c r="D24"/>
      <c r="E24"/>
      <c r="F24"/>
      <c r="G24"/>
      <c r="H24"/>
      <c r="I24"/>
      <c r="J24"/>
    </row>
    <row r="25" spans="1:10" s="148" customFormat="1" ht="15" customHeight="1" x14ac:dyDescent="0.2">
      <c r="A25" s="493" t="s">
        <v>396</v>
      </c>
      <c r="B25" s="494"/>
      <c r="C25" s="494"/>
      <c r="D25" s="494"/>
      <c r="E25" s="494"/>
      <c r="F25" s="494"/>
      <c r="G25" s="494"/>
      <c r="H25" s="494"/>
      <c r="I25" s="494"/>
      <c r="J25" s="495"/>
    </row>
    <row r="26" spans="1:10" s="148" customFormat="1" ht="15" customHeight="1" x14ac:dyDescent="0.2">
      <c r="A26" s="505"/>
      <c r="B26" s="506"/>
      <c r="C26" s="506"/>
      <c r="D26" s="506"/>
      <c r="E26" s="506"/>
      <c r="F26" s="506"/>
      <c r="G26" s="506"/>
      <c r="H26" s="506"/>
      <c r="I26" s="506"/>
      <c r="J26" s="507"/>
    </row>
    <row r="27" spans="1:10" s="148" customFormat="1" ht="15" customHeight="1" x14ac:dyDescent="0.2">
      <c r="A27" s="508" t="s">
        <v>397</v>
      </c>
      <c r="B27" s="509"/>
      <c r="C27" s="509"/>
      <c r="D27" s="509"/>
      <c r="E27" s="509"/>
      <c r="F27" s="509" t="s">
        <v>398</v>
      </c>
      <c r="G27" s="509"/>
      <c r="H27" s="509"/>
      <c r="I27" s="509"/>
      <c r="J27" s="510"/>
    </row>
    <row r="28" spans="1:10" s="148" customFormat="1" ht="15" customHeight="1" x14ac:dyDescent="0.2">
      <c r="A28" s="490"/>
      <c r="B28" s="480"/>
      <c r="C28" s="480"/>
      <c r="D28" s="480"/>
      <c r="E28" s="480"/>
      <c r="F28" s="480"/>
      <c r="G28" s="480"/>
      <c r="H28" s="480"/>
      <c r="I28" s="480"/>
      <c r="J28" s="481"/>
    </row>
    <row r="29" spans="1:10" s="148" customFormat="1" ht="15" customHeight="1" x14ac:dyDescent="0.2">
      <c r="A29" s="490" t="s">
        <v>399</v>
      </c>
      <c r="B29" s="480"/>
      <c r="C29" s="480"/>
      <c r="D29" s="480"/>
      <c r="E29" s="480"/>
      <c r="F29" s="480" t="s">
        <v>400</v>
      </c>
      <c r="G29" s="480"/>
      <c r="H29" s="480"/>
      <c r="I29" s="480"/>
      <c r="J29" s="481"/>
    </row>
    <row r="30" spans="1:10" s="148" customFormat="1" ht="15" customHeight="1" x14ac:dyDescent="0.2">
      <c r="A30" s="492" t="s">
        <v>401</v>
      </c>
      <c r="B30" s="482"/>
      <c r="C30" s="482"/>
      <c r="D30" s="482"/>
      <c r="E30" s="482"/>
      <c r="F30" s="482" t="s">
        <v>402</v>
      </c>
      <c r="G30" s="482"/>
      <c r="H30" s="482"/>
      <c r="I30" s="482"/>
      <c r="J30" s="483"/>
    </row>
    <row r="31" spans="1:10" s="148" customFormat="1" ht="15" customHeight="1" x14ac:dyDescent="0.2">
      <c r="A31" s="486" t="s">
        <v>403</v>
      </c>
      <c r="B31" s="487"/>
      <c r="C31" s="487"/>
      <c r="D31" s="487"/>
      <c r="E31" s="487"/>
      <c r="F31" s="175"/>
      <c r="G31" s="175"/>
      <c r="H31" s="175"/>
      <c r="I31" s="175"/>
      <c r="J31" s="176"/>
    </row>
    <row r="32" spans="1:10" s="148" customFormat="1" ht="15" customHeight="1" x14ac:dyDescent="0.2">
      <c r="A32" s="486"/>
      <c r="B32" s="487"/>
      <c r="C32" s="487"/>
      <c r="D32" s="487"/>
      <c r="E32" s="487"/>
      <c r="F32" s="175"/>
      <c r="G32" s="175"/>
      <c r="H32" s="175"/>
      <c r="I32" s="175"/>
      <c r="J32" s="176"/>
    </row>
    <row r="33" spans="1:10" s="148" customFormat="1" ht="15" customHeight="1" x14ac:dyDescent="0.2">
      <c r="A33" s="177"/>
      <c r="B33" s="178"/>
      <c r="C33" s="179"/>
      <c r="D33" s="179"/>
      <c r="E33" s="179"/>
      <c r="F33" s="179"/>
      <c r="G33" s="179"/>
      <c r="H33" s="179"/>
      <c r="I33" s="175"/>
      <c r="J33" s="176"/>
    </row>
    <row r="34" spans="1:10" s="148" customFormat="1" ht="15" customHeight="1" x14ac:dyDescent="0.2">
      <c r="A34" s="180"/>
      <c r="B34" s="181"/>
      <c r="C34" s="181"/>
      <c r="D34" s="181"/>
      <c r="E34" s="181"/>
      <c r="F34" s="181"/>
      <c r="G34" s="181"/>
      <c r="H34" s="181"/>
      <c r="I34" s="181"/>
      <c r="J34" s="182"/>
    </row>
    <row r="35" spans="1:10" s="148" customFormat="1" ht="15" customHeight="1" x14ac:dyDescent="0.2">
      <c r="A35" s="180"/>
      <c r="B35" s="181"/>
      <c r="C35" s="181"/>
      <c r="D35" s="181"/>
      <c r="E35" s="181"/>
      <c r="F35" s="181"/>
      <c r="G35" s="181"/>
      <c r="H35" s="181"/>
      <c r="I35" s="181"/>
      <c r="J35" s="182"/>
    </row>
    <row r="36" spans="1:10" s="148" customFormat="1" ht="15" customHeight="1" thickBot="1" x14ac:dyDescent="0.25">
      <c r="A36" s="183"/>
      <c r="B36" s="184"/>
      <c r="C36" s="184"/>
      <c r="D36" s="184"/>
      <c r="E36" s="184"/>
      <c r="F36" s="184"/>
      <c r="G36" s="184"/>
      <c r="H36" s="184"/>
      <c r="I36" s="184"/>
      <c r="J36" s="185"/>
    </row>
    <row r="37" spans="1:10" s="148" customFormat="1" ht="15" customHeight="1" thickBot="1" x14ac:dyDescent="0.25">
      <c r="A37"/>
      <c r="B37"/>
      <c r="C37"/>
      <c r="D37"/>
      <c r="E37"/>
      <c r="F37"/>
      <c r="G37"/>
      <c r="H37"/>
      <c r="I37"/>
      <c r="J37"/>
    </row>
    <row r="38" spans="1:10" s="148" customFormat="1" ht="15" customHeight="1" x14ac:dyDescent="0.2">
      <c r="A38" s="493" t="s">
        <v>404</v>
      </c>
      <c r="B38" s="494"/>
      <c r="C38" s="494"/>
      <c r="D38" s="494"/>
      <c r="E38" s="494"/>
      <c r="F38" s="494"/>
      <c r="G38" s="494"/>
      <c r="H38" s="494"/>
      <c r="I38" s="494"/>
      <c r="J38" s="495"/>
    </row>
    <row r="39" spans="1:10" s="148" customFormat="1" ht="3.75" customHeight="1" x14ac:dyDescent="0.2">
      <c r="A39" s="486"/>
      <c r="B39" s="487"/>
      <c r="C39" s="487"/>
      <c r="D39" s="487"/>
      <c r="E39" s="487"/>
      <c r="F39" s="487"/>
      <c r="G39" s="487"/>
      <c r="H39" s="487"/>
      <c r="I39" s="487"/>
      <c r="J39" s="491"/>
    </row>
    <row r="40" spans="1:10" s="148" customFormat="1" ht="15" customHeight="1" x14ac:dyDescent="0.2">
      <c r="A40" s="4"/>
      <c r="B40" s="5"/>
      <c r="C40" s="480" t="s">
        <v>410</v>
      </c>
      <c r="D40" s="480"/>
      <c r="E40" s="480"/>
      <c r="F40" s="480"/>
      <c r="G40" s="480"/>
      <c r="H40" s="480"/>
      <c r="I40" s="480"/>
      <c r="J40" s="481"/>
    </row>
    <row r="41" spans="1:10" s="148" customFormat="1" ht="15" customHeight="1" x14ac:dyDescent="0.2">
      <c r="A41" s="186"/>
      <c r="B41" s="2"/>
      <c r="C41" s="482"/>
      <c r="D41" s="482"/>
      <c r="E41" s="482"/>
      <c r="F41" s="482"/>
      <c r="G41" s="482"/>
      <c r="H41" s="482"/>
      <c r="I41" s="482"/>
      <c r="J41" s="483"/>
    </row>
    <row r="42" spans="1:10" s="148" customFormat="1" ht="15" customHeight="1" x14ac:dyDescent="0.2">
      <c r="A42" s="484" t="s">
        <v>403</v>
      </c>
      <c r="B42" s="485"/>
      <c r="C42" s="485"/>
      <c r="D42" s="5"/>
      <c r="E42" s="5"/>
      <c r="F42" s="5"/>
      <c r="G42" s="5"/>
      <c r="H42" s="5"/>
      <c r="I42" s="5"/>
      <c r="J42" s="127"/>
    </row>
    <row r="43" spans="1:10" s="148" customFormat="1" ht="15" customHeight="1" x14ac:dyDescent="0.2">
      <c r="A43" s="486"/>
      <c r="B43" s="487"/>
      <c r="C43" s="487"/>
      <c r="D43" s="5"/>
      <c r="E43" s="5"/>
      <c r="F43" s="5"/>
      <c r="G43" s="5"/>
      <c r="H43" s="5"/>
      <c r="I43" s="5"/>
      <c r="J43" s="127"/>
    </row>
    <row r="44" spans="1:10" ht="13.5" customHeight="1" x14ac:dyDescent="0.2">
      <c r="A44" s="4"/>
      <c r="B44" s="5"/>
      <c r="C44" s="5"/>
      <c r="D44" s="5"/>
      <c r="E44" s="5"/>
      <c r="F44" s="5"/>
      <c r="G44" s="5"/>
      <c r="H44" s="5"/>
      <c r="I44" s="5"/>
      <c r="J44" s="127"/>
    </row>
    <row r="45" spans="1:10" ht="13.5" customHeight="1" thickBot="1" x14ac:dyDescent="0.25">
      <c r="A45" s="26"/>
      <c r="B45" s="27"/>
      <c r="C45" s="27"/>
      <c r="D45" s="27"/>
      <c r="E45" s="27"/>
      <c r="F45" s="27"/>
      <c r="G45" s="27"/>
      <c r="H45" s="27"/>
      <c r="I45" s="27"/>
      <c r="J45" s="28"/>
    </row>
    <row r="46" spans="1:10" ht="13.5" customHeight="1" x14ac:dyDescent="0.2"/>
    <row r="47" spans="1:10" ht="13.5" customHeight="1" x14ac:dyDescent="0.2">
      <c r="A47" s="488" t="s">
        <v>405</v>
      </c>
      <c r="B47" s="488"/>
      <c r="C47" s="488"/>
      <c r="D47" s="488"/>
      <c r="E47" s="488"/>
      <c r="F47" s="488"/>
      <c r="G47" s="488"/>
      <c r="H47" s="488"/>
      <c r="I47" s="488"/>
      <c r="J47" s="488"/>
    </row>
    <row r="48" spans="1:10" ht="13.5" customHeight="1" thickBot="1" x14ac:dyDescent="0.25">
      <c r="A48" s="489"/>
      <c r="B48" s="489"/>
      <c r="C48" s="489"/>
      <c r="D48" s="489"/>
      <c r="E48" s="489"/>
      <c r="F48" s="489"/>
      <c r="G48" s="489"/>
      <c r="H48" s="489"/>
      <c r="I48" s="489"/>
      <c r="J48" s="489"/>
    </row>
    <row r="49" spans="1:10" ht="13.5" customHeight="1" x14ac:dyDescent="0.2">
      <c r="A49" s="187"/>
      <c r="B49" s="188"/>
      <c r="C49" s="189"/>
      <c r="D49" s="189"/>
      <c r="E49" s="189"/>
      <c r="F49" s="189"/>
      <c r="G49" s="189"/>
      <c r="H49" s="189"/>
      <c r="I49" s="189"/>
      <c r="J49" s="190"/>
    </row>
    <row r="50" spans="1:10" ht="13.5" customHeight="1" x14ac:dyDescent="0.2">
      <c r="A50" s="490" t="s">
        <v>406</v>
      </c>
      <c r="B50" s="480"/>
      <c r="C50" s="487" t="s">
        <v>407</v>
      </c>
      <c r="D50" s="487"/>
      <c r="E50" s="487"/>
      <c r="F50" s="487"/>
      <c r="G50" s="487"/>
      <c r="H50" s="487"/>
      <c r="I50" s="487"/>
      <c r="J50" s="491"/>
    </row>
    <row r="51" spans="1:10" ht="13.5" customHeight="1" x14ac:dyDescent="0.2">
      <c r="A51" s="490"/>
      <c r="B51" s="480"/>
      <c r="C51" s="487"/>
      <c r="D51" s="487"/>
      <c r="E51" s="487"/>
      <c r="F51" s="487"/>
      <c r="G51" s="487"/>
      <c r="H51" s="487"/>
      <c r="I51" s="487"/>
      <c r="J51" s="491"/>
    </row>
    <row r="52" spans="1:10" ht="13.5" customHeight="1" x14ac:dyDescent="0.2">
      <c r="A52" s="177"/>
      <c r="B52" s="178"/>
      <c r="C52" s="487"/>
      <c r="D52" s="487"/>
      <c r="E52" s="487"/>
      <c r="F52" s="487"/>
      <c r="G52" s="487"/>
      <c r="H52" s="487"/>
      <c r="I52" s="487"/>
      <c r="J52" s="176"/>
    </row>
    <row r="53" spans="1:10" ht="13.5" customHeight="1" x14ac:dyDescent="0.2">
      <c r="A53" s="177"/>
      <c r="B53" s="178"/>
      <c r="C53" s="179" t="s">
        <v>408</v>
      </c>
      <c r="D53" s="179"/>
      <c r="E53" s="179"/>
      <c r="F53" s="179" t="s">
        <v>409</v>
      </c>
      <c r="G53" s="179"/>
      <c r="H53" s="179"/>
      <c r="I53" s="178"/>
      <c r="J53" s="191"/>
    </row>
    <row r="54" spans="1:10" ht="13.5" customHeight="1" thickBot="1" x14ac:dyDescent="0.25">
      <c r="A54" s="192"/>
      <c r="B54" s="193"/>
      <c r="C54" s="194"/>
      <c r="D54" s="194"/>
      <c r="E54" s="194"/>
      <c r="F54" s="194"/>
      <c r="G54" s="194"/>
      <c r="H54" s="194"/>
      <c r="I54" s="193"/>
      <c r="J54" s="195"/>
    </row>
    <row r="55" spans="1:10" ht="13.5" customHeight="1" x14ac:dyDescent="0.2">
      <c r="A55" s="181"/>
      <c r="B55" s="181"/>
      <c r="C55" s="181"/>
      <c r="D55" s="181"/>
      <c r="E55" s="181"/>
      <c r="F55" s="181"/>
      <c r="G55" s="181"/>
      <c r="H55" s="181"/>
      <c r="I55" s="181"/>
      <c r="J55" s="181"/>
    </row>
    <row r="56" spans="1:10" ht="6" customHeight="1" x14ac:dyDescent="0.2"/>
    <row r="57" spans="1:10" ht="12" customHeight="1" x14ac:dyDescent="0.2"/>
    <row r="58" spans="1:10" ht="12" customHeight="1" x14ac:dyDescent="0.2"/>
  </sheetData>
  <mergeCells count="43">
    <mergeCell ref="D20:J21"/>
    <mergeCell ref="B18:C18"/>
    <mergeCell ref="D18:F18"/>
    <mergeCell ref="D13:J14"/>
    <mergeCell ref="I8:J9"/>
    <mergeCell ref="A10:A11"/>
    <mergeCell ref="B10:C11"/>
    <mergeCell ref="D10:J11"/>
    <mergeCell ref="A8:A9"/>
    <mergeCell ref="B8:C9"/>
    <mergeCell ref="D8:H9"/>
    <mergeCell ref="A1:E2"/>
    <mergeCell ref="B3:I4"/>
    <mergeCell ref="A6:C7"/>
    <mergeCell ref="D6:J7"/>
    <mergeCell ref="B15:C16"/>
    <mergeCell ref="D15:J16"/>
    <mergeCell ref="B12:C12"/>
    <mergeCell ref="D12:J12"/>
    <mergeCell ref="B13:C14"/>
    <mergeCell ref="B17:C17"/>
    <mergeCell ref="D17:F17"/>
    <mergeCell ref="B22:C23"/>
    <mergeCell ref="D22:J23"/>
    <mergeCell ref="A25:J26"/>
    <mergeCell ref="A27:E28"/>
    <mergeCell ref="F27:J28"/>
    <mergeCell ref="H18:J18"/>
    <mergeCell ref="A19:J19"/>
    <mergeCell ref="B20:C21"/>
    <mergeCell ref="A29:E29"/>
    <mergeCell ref="F29:J29"/>
    <mergeCell ref="A30:E30"/>
    <mergeCell ref="F30:J30"/>
    <mergeCell ref="A31:E32"/>
    <mergeCell ref="A38:J39"/>
    <mergeCell ref="C40:J41"/>
    <mergeCell ref="A42:C43"/>
    <mergeCell ref="C52:I52"/>
    <mergeCell ref="A47:J47"/>
    <mergeCell ref="A48:J48"/>
    <mergeCell ref="A50:B51"/>
    <mergeCell ref="C50:J51"/>
  </mergeCells>
  <phoneticPr fontId="3"/>
  <pageMargins left="0.7" right="0.7" top="0.75" bottom="0.75" header="0.3" footer="0.3"/>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F97A9-CAC4-4A0D-82FE-F3A4B5F6D5D0}">
  <dimension ref="A1:AM38"/>
  <sheetViews>
    <sheetView view="pageBreakPreview" topLeftCell="A13" zoomScaleNormal="100" workbookViewId="0">
      <selection activeCell="AB11" sqref="AB11:AK12"/>
    </sheetView>
  </sheetViews>
  <sheetFormatPr defaultColWidth="2.26953125" defaultRowHeight="13" x14ac:dyDescent="0.2"/>
  <sheetData>
    <row r="1" spans="1:38" ht="13.5" customHeight="1" x14ac:dyDescent="0.2">
      <c r="B1" s="627" t="s">
        <v>74</v>
      </c>
      <c r="C1" s="627"/>
      <c r="D1" s="627"/>
      <c r="E1" s="627"/>
      <c r="F1" s="627"/>
      <c r="G1" s="627"/>
      <c r="H1" s="627"/>
      <c r="I1" s="627"/>
      <c r="J1" s="627"/>
      <c r="K1" s="627"/>
      <c r="L1" s="627"/>
      <c r="M1" s="627"/>
      <c r="N1" s="627"/>
      <c r="O1" s="627"/>
      <c r="P1" s="627"/>
      <c r="Q1" s="627"/>
      <c r="R1" s="627"/>
      <c r="S1" s="627"/>
      <c r="T1" s="627"/>
      <c r="U1" s="627"/>
      <c r="V1" s="627"/>
      <c r="W1" s="627"/>
      <c r="X1" s="627"/>
      <c r="Y1" s="627"/>
      <c r="Z1" s="627"/>
      <c r="AA1" s="627"/>
      <c r="AB1" s="627"/>
    </row>
    <row r="2" spans="1:38" ht="13.5" customHeight="1" x14ac:dyDescent="0.2">
      <c r="B2" s="627"/>
      <c r="C2" s="627"/>
      <c r="D2" s="627"/>
      <c r="E2" s="627"/>
      <c r="F2" s="627"/>
      <c r="G2" s="627"/>
      <c r="H2" s="627"/>
      <c r="I2" s="627"/>
      <c r="J2" s="627"/>
      <c r="K2" s="627"/>
      <c r="L2" s="627"/>
      <c r="M2" s="627"/>
      <c r="N2" s="627"/>
      <c r="O2" s="627"/>
      <c r="P2" s="627"/>
      <c r="Q2" s="627"/>
      <c r="R2" s="627"/>
      <c r="S2" s="627"/>
      <c r="T2" s="627"/>
      <c r="U2" s="627"/>
      <c r="V2" s="627"/>
      <c r="W2" s="627"/>
      <c r="X2" s="627"/>
      <c r="Y2" s="627"/>
      <c r="Z2" s="627"/>
      <c r="AA2" s="627"/>
      <c r="AB2" s="627"/>
    </row>
    <row r="3" spans="1:38" ht="13.5" customHeight="1" x14ac:dyDescent="0.2">
      <c r="B3" s="627"/>
      <c r="C3" s="627"/>
      <c r="D3" s="627"/>
      <c r="E3" s="627"/>
      <c r="F3" s="627"/>
      <c r="G3" s="627"/>
      <c r="H3" s="627"/>
      <c r="I3" s="627"/>
      <c r="J3" s="627"/>
      <c r="K3" s="627"/>
      <c r="L3" s="627"/>
      <c r="M3" s="627"/>
      <c r="N3" s="627"/>
      <c r="O3" s="627"/>
      <c r="P3" s="627"/>
      <c r="Q3" s="627"/>
      <c r="R3" s="627"/>
      <c r="S3" s="627"/>
      <c r="T3" s="627"/>
      <c r="U3" s="627"/>
      <c r="V3" s="627"/>
      <c r="W3" s="627"/>
      <c r="X3" s="627"/>
      <c r="Y3" s="627"/>
      <c r="Z3" s="627"/>
      <c r="AA3" s="627"/>
      <c r="AB3" s="627"/>
    </row>
    <row r="5" spans="1:38" x14ac:dyDescent="0.2">
      <c r="A5" s="548"/>
      <c r="B5" s="548"/>
      <c r="C5" s="548"/>
      <c r="D5" s="548"/>
      <c r="E5" s="548"/>
      <c r="F5" s="548"/>
      <c r="G5" s="548"/>
      <c r="H5" s="548"/>
      <c r="I5" s="548"/>
      <c r="J5" s="548"/>
      <c r="K5" s="548"/>
      <c r="L5" s="548"/>
      <c r="M5" s="548"/>
      <c r="N5" s="548"/>
      <c r="O5" s="548"/>
      <c r="P5" s="548"/>
      <c r="Q5" s="548"/>
      <c r="R5" s="548"/>
      <c r="S5" s="548"/>
      <c r="T5" s="548"/>
      <c r="U5" s="548"/>
      <c r="V5" s="548"/>
      <c r="W5" s="548"/>
      <c r="X5" s="5"/>
      <c r="Y5" s="5"/>
      <c r="Z5" s="5"/>
    </row>
    <row r="6" spans="1:38" x14ac:dyDescent="0.2">
      <c r="A6" s="548"/>
      <c r="B6" s="548"/>
      <c r="C6" s="548"/>
      <c r="D6" s="548"/>
      <c r="E6" s="548"/>
      <c r="F6" s="548"/>
      <c r="G6" s="548"/>
      <c r="H6" s="548"/>
      <c r="I6" s="548"/>
      <c r="J6" s="548"/>
      <c r="K6" s="548"/>
      <c r="L6" s="548"/>
      <c r="M6" s="548"/>
      <c r="N6" s="548"/>
      <c r="O6" s="548"/>
      <c r="P6" s="548"/>
      <c r="Q6" s="548"/>
      <c r="R6" s="548"/>
      <c r="S6" s="548"/>
      <c r="T6" s="548"/>
      <c r="U6" s="548"/>
      <c r="V6" s="548"/>
      <c r="W6" s="548"/>
      <c r="X6" s="632" t="s">
        <v>75</v>
      </c>
      <c r="Y6" s="632"/>
      <c r="Z6" s="632"/>
    </row>
    <row r="7" spans="1:38" x14ac:dyDescent="0.2">
      <c r="A7" s="549"/>
      <c r="B7" s="549"/>
      <c r="C7" s="549"/>
      <c r="D7" s="549"/>
      <c r="E7" s="549"/>
      <c r="F7" s="549"/>
      <c r="G7" s="549"/>
      <c r="H7" s="549"/>
      <c r="I7" s="549"/>
      <c r="J7" s="549"/>
      <c r="K7" s="549"/>
      <c r="L7" s="549"/>
      <c r="M7" s="549"/>
      <c r="N7" s="549"/>
      <c r="O7" s="549"/>
      <c r="P7" s="549"/>
      <c r="Q7" s="549"/>
      <c r="R7" s="549"/>
      <c r="S7" s="549"/>
      <c r="T7" s="549"/>
      <c r="U7" s="549"/>
      <c r="V7" s="549"/>
      <c r="W7" s="549"/>
      <c r="X7" s="633"/>
      <c r="Y7" s="633"/>
      <c r="Z7" s="633"/>
    </row>
    <row r="9" spans="1:38" ht="27" customHeight="1" x14ac:dyDescent="0.3">
      <c r="A9" s="634" t="s">
        <v>76</v>
      </c>
      <c r="B9" s="634"/>
      <c r="C9" s="634"/>
      <c r="D9" s="634"/>
      <c r="E9" s="634"/>
      <c r="F9" s="634"/>
      <c r="G9" s="537" t="str">
        <f>IF(入力画面!H2="","",入力画面!H2)</f>
        <v xml:space="preserve">	ハーモニーテラス生野西</v>
      </c>
      <c r="H9" s="537"/>
      <c r="I9" s="537"/>
      <c r="J9" s="537"/>
      <c r="K9" s="537"/>
      <c r="L9" s="537"/>
      <c r="M9" s="537"/>
      <c r="N9" s="537"/>
      <c r="O9" s="537"/>
      <c r="P9" s="537"/>
      <c r="Q9" s="537"/>
      <c r="R9" s="537"/>
      <c r="S9" s="537"/>
      <c r="T9" s="537"/>
      <c r="U9" s="537"/>
      <c r="V9" s="537"/>
      <c r="W9" s="537"/>
      <c r="X9" s="537">
        <f>IF(入力画面!I5="","",入力画面!I5)</f>
        <v>202</v>
      </c>
      <c r="Y9" s="537"/>
      <c r="Z9" s="537"/>
      <c r="AA9" s="536" t="s">
        <v>77</v>
      </c>
      <c r="AB9" s="536"/>
    </row>
    <row r="10" spans="1:38" ht="27" customHeight="1" x14ac:dyDescent="0.3">
      <c r="A10" s="635" t="s">
        <v>78</v>
      </c>
      <c r="B10" s="635"/>
      <c r="C10" s="635"/>
      <c r="D10" s="635"/>
      <c r="E10" s="635"/>
      <c r="F10" s="635"/>
      <c r="G10" s="628" t="str">
        <f>IF(入力画面!B3="","",入力画面!B3)</f>
        <v/>
      </c>
      <c r="H10" s="628"/>
      <c r="I10" s="628"/>
      <c r="J10" s="628"/>
      <c r="K10" s="628"/>
      <c r="L10" s="628"/>
      <c r="M10" s="628"/>
      <c r="N10" s="628"/>
      <c r="O10" s="628"/>
      <c r="P10" s="628"/>
      <c r="Q10" s="628"/>
      <c r="R10" s="628"/>
      <c r="S10" s="628"/>
      <c r="T10" s="628"/>
      <c r="U10" s="628"/>
      <c r="V10" s="628"/>
      <c r="W10" s="628"/>
      <c r="X10" s="636" t="s">
        <v>79</v>
      </c>
      <c r="Y10" s="636"/>
      <c r="Z10" s="636"/>
    </row>
    <row r="11" spans="1:38" ht="13.5" thickBot="1" x14ac:dyDescent="0.25">
      <c r="AB11" s="625"/>
      <c r="AC11" s="625"/>
      <c r="AD11" s="625"/>
      <c r="AE11" s="625"/>
      <c r="AF11" s="625"/>
      <c r="AG11" s="625"/>
      <c r="AH11" s="625"/>
      <c r="AI11" s="625"/>
      <c r="AJ11" s="625"/>
      <c r="AK11" s="625"/>
    </row>
    <row r="12" spans="1:38" x14ac:dyDescent="0.2">
      <c r="A12" s="587" t="s">
        <v>80</v>
      </c>
      <c r="B12" s="588"/>
      <c r="C12" s="588"/>
      <c r="D12" s="588"/>
      <c r="E12" s="588"/>
      <c r="F12" s="588"/>
      <c r="G12" s="588"/>
      <c r="H12" s="588"/>
      <c r="I12" s="588"/>
      <c r="J12" s="588"/>
      <c r="K12" s="593">
        <f>K37</f>
        <v>149000</v>
      </c>
      <c r="L12" s="593"/>
      <c r="M12" s="593"/>
      <c r="N12" s="593"/>
      <c r="O12" s="593"/>
      <c r="P12" s="593"/>
      <c r="Q12" s="593"/>
      <c r="R12" s="593"/>
      <c r="S12" s="593"/>
      <c r="T12" s="593"/>
      <c r="U12" s="593"/>
      <c r="V12" s="593"/>
      <c r="W12" s="593"/>
      <c r="X12" s="593"/>
      <c r="Y12" s="593"/>
      <c r="Z12" s="594"/>
      <c r="AB12" s="626"/>
      <c r="AC12" s="626"/>
      <c r="AD12" s="626"/>
      <c r="AE12" s="626"/>
      <c r="AF12" s="626"/>
      <c r="AG12" s="626"/>
      <c r="AH12" s="626"/>
      <c r="AI12" s="626"/>
      <c r="AJ12" s="626"/>
      <c r="AK12" s="626"/>
    </row>
    <row r="13" spans="1:38" x14ac:dyDescent="0.2">
      <c r="A13" s="589"/>
      <c r="B13" s="590"/>
      <c r="C13" s="590"/>
      <c r="D13" s="590"/>
      <c r="E13" s="590"/>
      <c r="F13" s="590"/>
      <c r="G13" s="590"/>
      <c r="H13" s="590"/>
      <c r="I13" s="590"/>
      <c r="J13" s="590"/>
      <c r="K13" s="595"/>
      <c r="L13" s="595"/>
      <c r="M13" s="595"/>
      <c r="N13" s="595"/>
      <c r="O13" s="595"/>
      <c r="P13" s="595"/>
      <c r="Q13" s="595"/>
      <c r="R13" s="595"/>
      <c r="S13" s="595"/>
      <c r="T13" s="595"/>
      <c r="U13" s="595"/>
      <c r="V13" s="595"/>
      <c r="W13" s="595"/>
      <c r="X13" s="595"/>
      <c r="Y13" s="595"/>
      <c r="Z13" s="596"/>
    </row>
    <row r="14" spans="1:38" ht="13.5" thickBot="1" x14ac:dyDescent="0.25">
      <c r="A14" s="591"/>
      <c r="B14" s="592"/>
      <c r="C14" s="592"/>
      <c r="D14" s="592"/>
      <c r="E14" s="592"/>
      <c r="F14" s="592"/>
      <c r="G14" s="592"/>
      <c r="H14" s="592"/>
      <c r="I14" s="592"/>
      <c r="J14" s="592"/>
      <c r="K14" s="597"/>
      <c r="L14" s="597"/>
      <c r="M14" s="597"/>
      <c r="N14" s="597"/>
      <c r="O14" s="597"/>
      <c r="P14" s="597"/>
      <c r="Q14" s="597"/>
      <c r="R14" s="597"/>
      <c r="S14" s="597"/>
      <c r="T14" s="597"/>
      <c r="U14" s="597"/>
      <c r="V14" s="597"/>
      <c r="W14" s="597"/>
      <c r="X14" s="597"/>
      <c r="Y14" s="597"/>
      <c r="Z14" s="598"/>
      <c r="AC14" s="629" t="s">
        <v>81</v>
      </c>
      <c r="AD14" s="629"/>
      <c r="AE14" s="629"/>
      <c r="AF14" s="629"/>
      <c r="AG14" s="629"/>
      <c r="AH14" s="629"/>
      <c r="AI14" s="629"/>
      <c r="AJ14" s="629"/>
      <c r="AK14" s="629"/>
    </row>
    <row r="15" spans="1:38" ht="13.5" thickBot="1" x14ac:dyDescent="0.25">
      <c r="AC15" s="629"/>
      <c r="AD15" s="629"/>
      <c r="AE15" s="629"/>
      <c r="AF15" s="629"/>
      <c r="AG15" s="629"/>
      <c r="AH15" s="629"/>
      <c r="AI15" s="629"/>
      <c r="AJ15" s="629"/>
      <c r="AK15" s="629"/>
    </row>
    <row r="16" spans="1:38" ht="22" customHeight="1" x14ac:dyDescent="0.25">
      <c r="A16" s="601" t="s">
        <v>82</v>
      </c>
      <c r="B16" s="602"/>
      <c r="C16" s="602"/>
      <c r="D16" s="602"/>
      <c r="E16" s="602"/>
      <c r="F16" s="602"/>
      <c r="G16" s="602"/>
      <c r="H16" s="602"/>
      <c r="I16" s="602"/>
      <c r="J16" s="602"/>
      <c r="K16" s="610">
        <f>SUM(AF16:AK18)</f>
        <v>0</v>
      </c>
      <c r="L16" s="611"/>
      <c r="M16" s="611"/>
      <c r="N16" s="611"/>
      <c r="O16" s="611"/>
      <c r="P16" s="611"/>
      <c r="Q16" s="611"/>
      <c r="R16" s="611"/>
      <c r="S16" s="611"/>
      <c r="T16" s="599"/>
      <c r="U16" s="599"/>
      <c r="V16" s="599"/>
      <c r="W16" s="599"/>
      <c r="X16" s="599"/>
      <c r="Y16" s="599"/>
      <c r="Z16" s="600"/>
      <c r="AB16" s="614" t="s">
        <v>83</v>
      </c>
      <c r="AC16" s="615"/>
      <c r="AD16" s="615"/>
      <c r="AE16" s="615"/>
      <c r="AF16" s="630" t="str">
        <f>IF(入力画面!H4="","",入力画面!H4)</f>
        <v/>
      </c>
      <c r="AG16" s="630"/>
      <c r="AH16" s="630"/>
      <c r="AI16" s="630"/>
      <c r="AJ16" s="630"/>
      <c r="AK16" s="630"/>
      <c r="AL16" s="123" t="s">
        <v>84</v>
      </c>
    </row>
    <row r="17" spans="1:38" ht="22" customHeight="1" x14ac:dyDescent="0.25">
      <c r="A17" s="603"/>
      <c r="B17" s="604"/>
      <c r="C17" s="604"/>
      <c r="D17" s="604"/>
      <c r="E17" s="604"/>
      <c r="F17" s="604"/>
      <c r="G17" s="604"/>
      <c r="H17" s="604"/>
      <c r="I17" s="604"/>
      <c r="J17" s="605"/>
      <c r="K17" s="606"/>
      <c r="L17" s="607"/>
      <c r="M17" s="607"/>
      <c r="N17" s="607"/>
      <c r="O17" s="607"/>
      <c r="P17" s="607"/>
      <c r="Q17" s="607"/>
      <c r="R17" s="607"/>
      <c r="S17" s="607"/>
      <c r="T17" s="547"/>
      <c r="U17" s="547"/>
      <c r="V17" s="547"/>
      <c r="W17" s="547"/>
      <c r="X17" s="547"/>
      <c r="Y17" s="547"/>
      <c r="Z17" s="565"/>
      <c r="AB17" s="585" t="s">
        <v>85</v>
      </c>
      <c r="AC17" s="586"/>
      <c r="AD17" s="586"/>
      <c r="AE17" s="586"/>
      <c r="AF17" s="579">
        <f>IF(入力画面!H5="","",入力画面!H5)</f>
        <v>0</v>
      </c>
      <c r="AG17" s="579"/>
      <c r="AH17" s="579"/>
      <c r="AI17" s="579"/>
      <c r="AJ17" s="579"/>
      <c r="AK17" s="579"/>
      <c r="AL17" s="124" t="s">
        <v>84</v>
      </c>
    </row>
    <row r="18" spans="1:38" ht="22" customHeight="1" x14ac:dyDescent="0.25">
      <c r="A18" s="608">
        <f>IF(入力画面!C9="","",入力画面!C9)</f>
        <v>12</v>
      </c>
      <c r="B18" s="609"/>
      <c r="C18" s="612" t="s">
        <v>86</v>
      </c>
      <c r="D18" s="612"/>
      <c r="E18" s="612"/>
      <c r="F18" s="612"/>
      <c r="G18" s="612"/>
      <c r="H18" s="612"/>
      <c r="I18" s="612"/>
      <c r="J18" s="613"/>
      <c r="K18" s="606">
        <f>IF(入力画面!B9="","",入力画面!B9)</f>
        <v>62000</v>
      </c>
      <c r="L18" s="607"/>
      <c r="M18" s="607"/>
      <c r="N18" s="607"/>
      <c r="O18" s="607"/>
      <c r="P18" s="607"/>
      <c r="Q18" s="607"/>
      <c r="R18" s="607"/>
      <c r="S18" s="607"/>
      <c r="T18" s="547"/>
      <c r="U18" s="547"/>
      <c r="V18" s="547"/>
      <c r="W18" s="547"/>
      <c r="X18" s="547"/>
      <c r="Y18" s="547"/>
      <c r="Z18" s="565"/>
      <c r="AB18" s="585" t="s">
        <v>112</v>
      </c>
      <c r="AC18" s="586"/>
      <c r="AD18" s="586"/>
      <c r="AE18" s="586"/>
      <c r="AF18" s="579">
        <f>IF(入力画面!H6="","",入力画面!H6)</f>
        <v>0</v>
      </c>
      <c r="AG18" s="579"/>
      <c r="AH18" s="579"/>
      <c r="AI18" s="579"/>
      <c r="AJ18" s="579"/>
      <c r="AK18" s="579"/>
      <c r="AL18" s="124" t="s">
        <v>84</v>
      </c>
    </row>
    <row r="19" spans="1:38" ht="22" customHeight="1" x14ac:dyDescent="0.25">
      <c r="A19" s="608">
        <f>IF(入力画面!C9="","",入力画面!C9)</f>
        <v>12</v>
      </c>
      <c r="B19" s="609"/>
      <c r="C19" s="612" t="s">
        <v>87</v>
      </c>
      <c r="D19" s="612"/>
      <c r="E19" s="612"/>
      <c r="F19" s="612"/>
      <c r="G19" s="612"/>
      <c r="H19" s="612"/>
      <c r="I19" s="612"/>
      <c r="J19" s="613"/>
      <c r="K19" s="606">
        <f>IF(入力画面!B10="","",入力画面!B10)</f>
        <v>4000</v>
      </c>
      <c r="L19" s="607"/>
      <c r="M19" s="607"/>
      <c r="N19" s="607"/>
      <c r="O19" s="607"/>
      <c r="P19" s="607"/>
      <c r="Q19" s="607"/>
      <c r="R19" s="607"/>
      <c r="S19" s="607"/>
      <c r="T19" s="547"/>
      <c r="U19" s="547"/>
      <c r="V19" s="547"/>
      <c r="W19" s="547"/>
      <c r="X19" s="547"/>
      <c r="Y19" s="547"/>
      <c r="Z19" s="565"/>
      <c r="AB19" s="546" t="s">
        <v>88</v>
      </c>
      <c r="AC19" s="547"/>
      <c r="AD19" s="547"/>
      <c r="AE19" s="547"/>
      <c r="AF19" s="580" t="str">
        <f>IF(入力画面!H10="","",入力画面!H10)</f>
        <v/>
      </c>
      <c r="AG19" s="580"/>
      <c r="AH19" s="580"/>
      <c r="AI19" s="580"/>
      <c r="AJ19" s="580"/>
      <c r="AK19" s="580"/>
      <c r="AL19" s="125" t="s">
        <v>84</v>
      </c>
    </row>
    <row r="20" spans="1:38" ht="22" customHeight="1" x14ac:dyDescent="0.25">
      <c r="A20" s="608">
        <f>IF(入力画面!C9="","",入力画面!C9)</f>
        <v>12</v>
      </c>
      <c r="B20" s="609"/>
      <c r="C20" s="612" t="s">
        <v>89</v>
      </c>
      <c r="D20" s="612"/>
      <c r="E20" s="612"/>
      <c r="F20" s="612"/>
      <c r="G20" s="612"/>
      <c r="H20" s="612"/>
      <c r="I20" s="612"/>
      <c r="J20" s="613"/>
      <c r="K20" s="606">
        <f>IF(入力画面!B11="","",入力画面!B11)</f>
        <v>0</v>
      </c>
      <c r="L20" s="607"/>
      <c r="M20" s="607"/>
      <c r="N20" s="607"/>
      <c r="O20" s="607"/>
      <c r="P20" s="607"/>
      <c r="Q20" s="607"/>
      <c r="R20" s="607"/>
      <c r="S20" s="607"/>
      <c r="T20" s="547"/>
      <c r="U20" s="547"/>
      <c r="V20" s="547"/>
      <c r="W20" s="547"/>
      <c r="X20" s="547"/>
      <c r="Y20" s="547"/>
      <c r="Z20" s="565"/>
      <c r="AB20" s="581" t="s">
        <v>90</v>
      </c>
      <c r="AC20" s="582"/>
      <c r="AD20" s="582"/>
      <c r="AE20" s="582"/>
      <c r="AF20" s="580">
        <f>IF(入力画面!H7="","",入力画面!H7)</f>
        <v>62000</v>
      </c>
      <c r="AG20" s="580"/>
      <c r="AH20" s="580"/>
      <c r="AI20" s="580"/>
      <c r="AJ20" s="580"/>
      <c r="AK20" s="580"/>
      <c r="AL20" s="126" t="s">
        <v>84</v>
      </c>
    </row>
    <row r="21" spans="1:38" ht="22" customHeight="1" x14ac:dyDescent="0.25">
      <c r="A21" s="608"/>
      <c r="B21" s="609"/>
      <c r="C21" s="612"/>
      <c r="D21" s="612"/>
      <c r="E21" s="612"/>
      <c r="F21" s="612"/>
      <c r="G21" s="612"/>
      <c r="H21" s="612"/>
      <c r="I21" s="612"/>
      <c r="J21" s="613"/>
      <c r="K21" s="606"/>
      <c r="L21" s="607"/>
      <c r="M21" s="607"/>
      <c r="N21" s="607"/>
      <c r="O21" s="607"/>
      <c r="P21" s="607"/>
      <c r="Q21" s="607"/>
      <c r="R21" s="607"/>
      <c r="S21" s="607"/>
      <c r="T21" s="547"/>
      <c r="U21" s="547"/>
      <c r="V21" s="547"/>
      <c r="W21" s="547"/>
      <c r="X21" s="547"/>
      <c r="Y21" s="547"/>
      <c r="Z21" s="565"/>
      <c r="AB21" s="581" t="s">
        <v>91</v>
      </c>
      <c r="AC21" s="582"/>
      <c r="AD21" s="582"/>
      <c r="AE21" s="582"/>
      <c r="AF21" s="580">
        <f>IF(入力画面!H8="","",入力画面!H8)</f>
        <v>4000</v>
      </c>
      <c r="AG21" s="580"/>
      <c r="AH21" s="580"/>
      <c r="AI21" s="580"/>
      <c r="AJ21" s="580"/>
      <c r="AK21" s="580"/>
      <c r="AL21" s="126" t="s">
        <v>84</v>
      </c>
    </row>
    <row r="22" spans="1:38" ht="22" customHeight="1" x14ac:dyDescent="0.25">
      <c r="A22" s="608">
        <f>A18+1</f>
        <v>13</v>
      </c>
      <c r="B22" s="609"/>
      <c r="C22" s="612" t="s">
        <v>92</v>
      </c>
      <c r="D22" s="612"/>
      <c r="E22" s="612"/>
      <c r="F22" s="612"/>
      <c r="G22" s="612"/>
      <c r="H22" s="612"/>
      <c r="I22" s="612"/>
      <c r="J22" s="613"/>
      <c r="K22" s="606">
        <f>IF(入力画面!B14="","",入力画面!B14)</f>
        <v>55000</v>
      </c>
      <c r="L22" s="607"/>
      <c r="M22" s="607"/>
      <c r="N22" s="607"/>
      <c r="O22" s="607"/>
      <c r="P22" s="607"/>
      <c r="Q22" s="607"/>
      <c r="R22" s="607"/>
      <c r="S22" s="607"/>
      <c r="T22" s="547"/>
      <c r="U22" s="547"/>
      <c r="V22" s="547"/>
      <c r="W22" s="547"/>
      <c r="X22" s="547"/>
      <c r="Y22" s="547"/>
      <c r="Z22" s="565"/>
      <c r="AB22" s="581" t="s">
        <v>93</v>
      </c>
      <c r="AC22" s="582"/>
      <c r="AD22" s="582"/>
      <c r="AE22" s="582"/>
      <c r="AF22" s="580" t="str">
        <f>IF(入力画面!H9="","",入力画面!H9)</f>
        <v/>
      </c>
      <c r="AG22" s="580"/>
      <c r="AH22" s="580"/>
      <c r="AI22" s="580"/>
      <c r="AJ22" s="580"/>
      <c r="AK22" s="580"/>
      <c r="AL22" s="126" t="s">
        <v>84</v>
      </c>
    </row>
    <row r="23" spans="1:38" ht="22" customHeight="1" x14ac:dyDescent="0.25">
      <c r="A23" s="608">
        <f>A19+1</f>
        <v>13</v>
      </c>
      <c r="B23" s="609"/>
      <c r="C23" s="612" t="s">
        <v>94</v>
      </c>
      <c r="D23" s="612"/>
      <c r="E23" s="612"/>
      <c r="F23" s="612"/>
      <c r="G23" s="612"/>
      <c r="H23" s="612"/>
      <c r="I23" s="612"/>
      <c r="J23" s="613"/>
      <c r="K23" s="606">
        <f>IF(入力画面!B15="","",入力画面!B15)</f>
        <v>6000</v>
      </c>
      <c r="L23" s="607"/>
      <c r="M23" s="607"/>
      <c r="N23" s="607"/>
      <c r="O23" s="607"/>
      <c r="P23" s="607"/>
      <c r="Q23" s="607"/>
      <c r="R23" s="607"/>
      <c r="S23" s="607"/>
      <c r="T23" s="547"/>
      <c r="U23" s="547"/>
      <c r="V23" s="547"/>
      <c r="W23" s="547"/>
      <c r="X23" s="547"/>
      <c r="Y23" s="547"/>
      <c r="Z23" s="565"/>
      <c r="AB23" s="581" t="s">
        <v>95</v>
      </c>
      <c r="AC23" s="582"/>
      <c r="AD23" s="582"/>
      <c r="AE23" s="582"/>
      <c r="AF23" s="584" t="str">
        <f>IF(入力画面!H13="","",入力画面!H13)</f>
        <v/>
      </c>
      <c r="AG23" s="584"/>
      <c r="AH23" s="584"/>
      <c r="AI23" s="584"/>
      <c r="AJ23" s="584"/>
      <c r="AK23" s="584"/>
      <c r="AL23" s="126" t="s">
        <v>84</v>
      </c>
    </row>
    <row r="24" spans="1:38" ht="22" customHeight="1" x14ac:dyDescent="0.25">
      <c r="A24" s="608">
        <f>A20+1</f>
        <v>13</v>
      </c>
      <c r="B24" s="609"/>
      <c r="C24" s="612" t="s">
        <v>96</v>
      </c>
      <c r="D24" s="612"/>
      <c r="E24" s="612"/>
      <c r="F24" s="612"/>
      <c r="G24" s="612"/>
      <c r="H24" s="612"/>
      <c r="I24" s="612"/>
      <c r="J24" s="613"/>
      <c r="K24" s="621" t="str">
        <f>IF(入力画面!B16="","",入力画面!B16)</f>
        <v/>
      </c>
      <c r="L24" s="622"/>
      <c r="M24" s="622"/>
      <c r="N24" s="622"/>
      <c r="O24" s="622"/>
      <c r="P24" s="622"/>
      <c r="Q24" s="622"/>
      <c r="R24" s="622"/>
      <c r="S24" s="623"/>
      <c r="T24" s="547"/>
      <c r="U24" s="547"/>
      <c r="V24" s="547"/>
      <c r="W24" s="547"/>
      <c r="X24" s="547"/>
      <c r="Y24" s="547"/>
      <c r="Z24" s="565"/>
      <c r="AB24" s="581"/>
      <c r="AC24" s="582"/>
      <c r="AD24" s="582"/>
      <c r="AE24" s="582"/>
      <c r="AF24" s="582"/>
      <c r="AG24" s="582"/>
      <c r="AH24" s="582"/>
      <c r="AI24" s="582"/>
      <c r="AJ24" s="582"/>
      <c r="AK24" s="582"/>
      <c r="AL24" s="583"/>
    </row>
    <row r="25" spans="1:38" ht="22" customHeight="1" x14ac:dyDescent="0.25">
      <c r="A25" s="608"/>
      <c r="B25" s="609"/>
      <c r="C25" s="612"/>
      <c r="D25" s="612"/>
      <c r="E25" s="612"/>
      <c r="F25" s="612"/>
      <c r="G25" s="612"/>
      <c r="H25" s="612"/>
      <c r="I25" s="612"/>
      <c r="J25" s="613"/>
      <c r="K25" s="562"/>
      <c r="L25" s="563"/>
      <c r="M25" s="563"/>
      <c r="N25" s="563"/>
      <c r="O25" s="563"/>
      <c r="P25" s="563"/>
      <c r="Q25" s="563"/>
      <c r="R25" s="563"/>
      <c r="S25" s="563"/>
      <c r="T25" s="547"/>
      <c r="U25" s="547"/>
      <c r="V25" s="547"/>
      <c r="W25" s="547"/>
      <c r="X25" s="547"/>
      <c r="Y25" s="547"/>
      <c r="Z25" s="565"/>
      <c r="AB25" s="546"/>
      <c r="AC25" s="547"/>
      <c r="AD25" s="547"/>
      <c r="AE25" s="547"/>
      <c r="AF25" s="547"/>
      <c r="AG25" s="547"/>
      <c r="AH25" s="547"/>
      <c r="AI25" s="547"/>
      <c r="AJ25" s="547"/>
      <c r="AK25" s="547"/>
      <c r="AL25" s="565"/>
    </row>
    <row r="26" spans="1:38" ht="22" customHeight="1" x14ac:dyDescent="0.25">
      <c r="A26" s="616" t="s">
        <v>97</v>
      </c>
      <c r="B26" s="617"/>
      <c r="C26" s="617"/>
      <c r="D26" s="617"/>
      <c r="E26" s="617"/>
      <c r="F26" s="617"/>
      <c r="G26" s="617"/>
      <c r="H26" s="617"/>
      <c r="I26" s="617"/>
      <c r="J26" s="618"/>
      <c r="K26" s="562" t="str">
        <f>IF(入力画面!B25="","",入力画面!B25)</f>
        <v/>
      </c>
      <c r="L26" s="563"/>
      <c r="M26" s="563"/>
      <c r="N26" s="563"/>
      <c r="O26" s="563"/>
      <c r="P26" s="563"/>
      <c r="Q26" s="563"/>
      <c r="R26" s="563"/>
      <c r="S26" s="563"/>
      <c r="T26" s="547"/>
      <c r="U26" s="547"/>
      <c r="V26" s="547"/>
      <c r="W26" s="547"/>
      <c r="X26" s="547"/>
      <c r="Y26" s="547"/>
      <c r="Z26" s="565"/>
      <c r="AB26" s="546"/>
      <c r="AC26" s="547"/>
      <c r="AD26" s="547"/>
      <c r="AE26" s="547"/>
      <c r="AF26" s="547"/>
      <c r="AG26" s="547"/>
      <c r="AH26" s="547"/>
      <c r="AI26" s="547"/>
      <c r="AJ26" s="547"/>
      <c r="AK26" s="547"/>
      <c r="AL26" s="565"/>
    </row>
    <row r="27" spans="1:38" ht="22" customHeight="1" thickBot="1" x14ac:dyDescent="0.3">
      <c r="A27" s="616" t="s">
        <v>98</v>
      </c>
      <c r="B27" s="617"/>
      <c r="C27" s="617"/>
      <c r="D27" s="617"/>
      <c r="E27" s="617"/>
      <c r="F27" s="617"/>
      <c r="G27" s="617"/>
      <c r="H27" s="617"/>
      <c r="I27" s="617"/>
      <c r="J27" s="618"/>
      <c r="K27" s="562" t="str">
        <f>IF(入力画面!B28="","",入力画面!B28)</f>
        <v/>
      </c>
      <c r="L27" s="563"/>
      <c r="M27" s="563"/>
      <c r="N27" s="563"/>
      <c r="O27" s="563"/>
      <c r="P27" s="563"/>
      <c r="Q27" s="563"/>
      <c r="R27" s="563"/>
      <c r="S27" s="563"/>
      <c r="T27" s="547"/>
      <c r="U27" s="547"/>
      <c r="V27" s="547"/>
      <c r="W27" s="547"/>
      <c r="X27" s="547"/>
      <c r="Y27" s="547"/>
      <c r="Z27" s="565"/>
      <c r="AB27" s="544"/>
      <c r="AC27" s="545"/>
      <c r="AD27" s="545"/>
      <c r="AE27" s="545"/>
      <c r="AF27" s="545"/>
      <c r="AG27" s="545"/>
      <c r="AH27" s="545"/>
      <c r="AI27" s="545"/>
      <c r="AJ27" s="545"/>
      <c r="AK27" s="545"/>
      <c r="AL27" s="575"/>
    </row>
    <row r="28" spans="1:38" ht="22" customHeight="1" x14ac:dyDescent="0.25">
      <c r="A28" s="616" t="s">
        <v>114</v>
      </c>
      <c r="B28" s="617"/>
      <c r="C28" s="617"/>
      <c r="D28" s="617"/>
      <c r="E28" s="617"/>
      <c r="F28" s="617"/>
      <c r="G28" s="617"/>
      <c r="H28" s="617"/>
      <c r="I28" s="617"/>
      <c r="J28" s="618"/>
      <c r="K28" s="562">
        <f>IF(入力画面!B27="","",入力画面!B27)</f>
        <v>22000</v>
      </c>
      <c r="L28" s="563"/>
      <c r="M28" s="563"/>
      <c r="N28" s="563"/>
      <c r="O28" s="563"/>
      <c r="P28" s="563"/>
      <c r="Q28" s="563"/>
      <c r="R28" s="563"/>
      <c r="S28" s="563"/>
      <c r="T28" s="547"/>
      <c r="U28" s="547"/>
      <c r="V28" s="547"/>
      <c r="W28" s="547"/>
      <c r="X28" s="547"/>
      <c r="Y28" s="547"/>
      <c r="Z28" s="565"/>
    </row>
    <row r="29" spans="1:38" ht="22" customHeight="1" x14ac:dyDescent="0.25">
      <c r="A29" s="619"/>
      <c r="B29" s="620"/>
      <c r="C29" s="620"/>
      <c r="D29" s="620"/>
      <c r="E29" s="620"/>
      <c r="F29" s="620"/>
      <c r="G29" s="620"/>
      <c r="H29" s="620"/>
      <c r="I29" s="620"/>
      <c r="J29" s="620"/>
      <c r="K29" s="564"/>
      <c r="L29" s="564"/>
      <c r="M29" s="564"/>
      <c r="N29" s="564"/>
      <c r="O29" s="564"/>
      <c r="P29" s="564"/>
      <c r="Q29" s="564"/>
      <c r="R29" s="564"/>
      <c r="S29" s="564"/>
      <c r="T29" s="547"/>
      <c r="U29" s="547"/>
      <c r="V29" s="547"/>
      <c r="W29" s="547"/>
      <c r="X29" s="547"/>
      <c r="Y29" s="547"/>
      <c r="Z29" s="565"/>
    </row>
    <row r="30" spans="1:38" ht="22" customHeight="1" thickBot="1" x14ac:dyDescent="0.3">
      <c r="A30" s="577"/>
      <c r="B30" s="578"/>
      <c r="C30" s="578"/>
      <c r="D30" s="578"/>
      <c r="E30" s="578"/>
      <c r="F30" s="578"/>
      <c r="G30" s="578"/>
      <c r="H30" s="578"/>
      <c r="I30" s="578"/>
      <c r="J30" s="578"/>
      <c r="K30" s="576"/>
      <c r="L30" s="576"/>
      <c r="M30" s="576"/>
      <c r="N30" s="576"/>
      <c r="O30" s="576"/>
      <c r="P30" s="576"/>
      <c r="Q30" s="576"/>
      <c r="R30" s="576"/>
      <c r="S30" s="576"/>
      <c r="T30" s="545"/>
      <c r="U30" s="545"/>
      <c r="V30" s="545"/>
      <c r="W30" s="545"/>
      <c r="X30" s="545"/>
      <c r="Y30" s="545"/>
      <c r="Z30" s="575"/>
    </row>
    <row r="31" spans="1:38" ht="27.75" customHeight="1" thickBot="1" x14ac:dyDescent="0.35">
      <c r="A31" s="569" t="s">
        <v>99</v>
      </c>
      <c r="B31" s="570"/>
      <c r="C31" s="570"/>
      <c r="D31" s="570"/>
      <c r="E31" s="570"/>
      <c r="F31" s="570"/>
      <c r="G31" s="570"/>
      <c r="H31" s="570"/>
      <c r="I31" s="570"/>
      <c r="J31" s="571"/>
      <c r="K31" s="566">
        <f>SUM(K16:S30)</f>
        <v>149000</v>
      </c>
      <c r="L31" s="567"/>
      <c r="M31" s="567"/>
      <c r="N31" s="567"/>
      <c r="O31" s="567"/>
      <c r="P31" s="567"/>
      <c r="Q31" s="567"/>
      <c r="R31" s="567"/>
      <c r="S31" s="568"/>
      <c r="T31" s="572"/>
      <c r="U31" s="573"/>
      <c r="V31" s="573"/>
      <c r="W31" s="573"/>
      <c r="X31" s="573"/>
      <c r="Y31" s="573"/>
      <c r="Z31" s="574"/>
    </row>
    <row r="32" spans="1:38" ht="10.5" customHeight="1" thickBot="1" x14ac:dyDescent="0.25"/>
    <row r="33" spans="2:39" ht="23.15" customHeight="1" x14ac:dyDescent="0.3">
      <c r="D33" s="558" t="s">
        <v>100</v>
      </c>
      <c r="E33" s="559"/>
      <c r="F33" s="559"/>
      <c r="G33" s="559"/>
      <c r="H33" s="559"/>
      <c r="I33" s="559"/>
      <c r="J33" s="559"/>
      <c r="K33" s="550" t="s">
        <v>101</v>
      </c>
      <c r="L33" s="551"/>
      <c r="M33" s="554"/>
      <c r="N33" s="554"/>
      <c r="O33" s="554"/>
      <c r="P33" s="554"/>
      <c r="Q33" s="554"/>
      <c r="R33" s="554"/>
      <c r="S33" s="555"/>
    </row>
    <row r="34" spans="2:39" ht="23.15" customHeight="1" x14ac:dyDescent="0.3">
      <c r="D34" s="560" t="s">
        <v>102</v>
      </c>
      <c r="E34" s="561"/>
      <c r="F34" s="561"/>
      <c r="G34" s="561"/>
      <c r="H34" s="561"/>
      <c r="I34" s="561"/>
      <c r="J34" s="561"/>
      <c r="K34" s="552" t="s">
        <v>105</v>
      </c>
      <c r="L34" s="553"/>
      <c r="M34" s="556"/>
      <c r="N34" s="556"/>
      <c r="O34" s="556"/>
      <c r="P34" s="556"/>
      <c r="Q34" s="556"/>
      <c r="R34" s="556"/>
      <c r="S34" s="557"/>
    </row>
    <row r="35" spans="2:39" ht="23.15" customHeight="1" thickBot="1" x14ac:dyDescent="0.35">
      <c r="D35" s="542" t="s">
        <v>103</v>
      </c>
      <c r="E35" s="543"/>
      <c r="F35" s="543"/>
      <c r="G35" s="543"/>
      <c r="H35" s="543"/>
      <c r="I35" s="543"/>
      <c r="J35" s="543"/>
      <c r="K35" s="538" t="s">
        <v>106</v>
      </c>
      <c r="L35" s="539"/>
      <c r="M35" s="540"/>
      <c r="N35" s="540"/>
      <c r="O35" s="540"/>
      <c r="P35" s="540"/>
      <c r="Q35" s="540"/>
      <c r="R35" s="540"/>
      <c r="S35" s="541"/>
    </row>
    <row r="36" spans="2:39" ht="13.5" thickBot="1" x14ac:dyDescent="0.25"/>
    <row r="37" spans="2:39" ht="33.75" customHeight="1" thickBot="1" x14ac:dyDescent="0.35">
      <c r="B37" s="531" t="s">
        <v>104</v>
      </c>
      <c r="C37" s="532"/>
      <c r="D37" s="532"/>
      <c r="E37" s="532"/>
      <c r="F37" s="532"/>
      <c r="G37" s="532"/>
      <c r="H37" s="532"/>
      <c r="I37" s="532"/>
      <c r="J37" s="532"/>
      <c r="K37" s="533">
        <f>K31-M33-M34-M35</f>
        <v>149000</v>
      </c>
      <c r="L37" s="534"/>
      <c r="M37" s="534"/>
      <c r="N37" s="534"/>
      <c r="O37" s="534"/>
      <c r="P37" s="534"/>
      <c r="Q37" s="534"/>
      <c r="R37" s="534"/>
      <c r="S37" s="534"/>
      <c r="T37" s="534"/>
      <c r="U37" s="535"/>
      <c r="Y37" s="624"/>
      <c r="Z37" s="624"/>
      <c r="AA37" s="631" t="s">
        <v>459</v>
      </c>
      <c r="AB37" s="631"/>
      <c r="AC37" s="631"/>
      <c r="AD37" s="631"/>
      <c r="AE37" s="631"/>
      <c r="AG37" s="624"/>
      <c r="AH37" s="624"/>
      <c r="AI37" s="631" t="s">
        <v>459</v>
      </c>
      <c r="AJ37" s="631"/>
      <c r="AK37" s="631"/>
      <c r="AL37" s="631"/>
      <c r="AM37" s="631"/>
    </row>
    <row r="38" spans="2:39" ht="13.5" customHeight="1" x14ac:dyDescent="0.2">
      <c r="Y38" s="624"/>
      <c r="Z38" s="624"/>
      <c r="AA38" s="631"/>
      <c r="AB38" s="631"/>
      <c r="AC38" s="631"/>
      <c r="AD38" s="631"/>
      <c r="AE38" s="631"/>
      <c r="AG38" s="624"/>
      <c r="AH38" s="624"/>
      <c r="AI38" s="631"/>
      <c r="AJ38" s="631"/>
      <c r="AK38" s="631"/>
      <c r="AL38" s="631"/>
      <c r="AM38" s="631"/>
    </row>
  </sheetData>
  <mergeCells count="109">
    <mergeCell ref="X6:Z7"/>
    <mergeCell ref="A9:F9"/>
    <mergeCell ref="A10:F10"/>
    <mergeCell ref="X10:Z10"/>
    <mergeCell ref="A28:J28"/>
    <mergeCell ref="A25:B25"/>
    <mergeCell ref="C19:J19"/>
    <mergeCell ref="A19:B19"/>
    <mergeCell ref="C20:J20"/>
    <mergeCell ref="A20:B20"/>
    <mergeCell ref="AF16:AK16"/>
    <mergeCell ref="T19:Z19"/>
    <mergeCell ref="AI37:AM38"/>
    <mergeCell ref="T20:Z20"/>
    <mergeCell ref="AB26:AE26"/>
    <mergeCell ref="AF26:AL26"/>
    <mergeCell ref="AB23:AE23"/>
    <mergeCell ref="AB17:AE17"/>
    <mergeCell ref="Y37:Z38"/>
    <mergeCell ref="AA37:AE38"/>
    <mergeCell ref="AG37:AH38"/>
    <mergeCell ref="K25:S25"/>
    <mergeCell ref="AB11:AK12"/>
    <mergeCell ref="B1:AB3"/>
    <mergeCell ref="G10:W10"/>
    <mergeCell ref="C18:J18"/>
    <mergeCell ref="T18:Z18"/>
    <mergeCell ref="K18:S18"/>
    <mergeCell ref="A18:B18"/>
    <mergeCell ref="AC14:AK15"/>
    <mergeCell ref="A29:J29"/>
    <mergeCell ref="C22:J22"/>
    <mergeCell ref="C24:J24"/>
    <mergeCell ref="A22:B22"/>
    <mergeCell ref="A24:B24"/>
    <mergeCell ref="K19:S19"/>
    <mergeCell ref="K20:S20"/>
    <mergeCell ref="K23:S23"/>
    <mergeCell ref="K24:S24"/>
    <mergeCell ref="A27:J27"/>
    <mergeCell ref="C25:J25"/>
    <mergeCell ref="AB16:AE16"/>
    <mergeCell ref="A26:J26"/>
    <mergeCell ref="T21:Z21"/>
    <mergeCell ref="T22:Z22"/>
    <mergeCell ref="T23:Z23"/>
    <mergeCell ref="T24:Z24"/>
    <mergeCell ref="T25:Z25"/>
    <mergeCell ref="K21:S21"/>
    <mergeCell ref="K26:S26"/>
    <mergeCell ref="K22:S22"/>
    <mergeCell ref="A21:B21"/>
    <mergeCell ref="K16:S16"/>
    <mergeCell ref="K17:S17"/>
    <mergeCell ref="A23:B23"/>
    <mergeCell ref="C23:J23"/>
    <mergeCell ref="C21:J21"/>
    <mergeCell ref="A12:J14"/>
    <mergeCell ref="K12:Z14"/>
    <mergeCell ref="T16:Z16"/>
    <mergeCell ref="T17:Z17"/>
    <mergeCell ref="A16:J16"/>
    <mergeCell ref="A17:J17"/>
    <mergeCell ref="AB24:AE24"/>
    <mergeCell ref="AF24:AL24"/>
    <mergeCell ref="AF23:AK23"/>
    <mergeCell ref="AB18:AE18"/>
    <mergeCell ref="AB21:AE21"/>
    <mergeCell ref="AB22:AE22"/>
    <mergeCell ref="AB19:AE19"/>
    <mergeCell ref="AB20:AE20"/>
    <mergeCell ref="AF21:AK21"/>
    <mergeCell ref="AF22:AK22"/>
    <mergeCell ref="AF17:AK17"/>
    <mergeCell ref="AF18:AK18"/>
    <mergeCell ref="AF25:AL25"/>
    <mergeCell ref="AF19:AK19"/>
    <mergeCell ref="AF20:AK20"/>
    <mergeCell ref="AF27:AL27"/>
    <mergeCell ref="K31:S31"/>
    <mergeCell ref="A31:J31"/>
    <mergeCell ref="T31:Z31"/>
    <mergeCell ref="T29:Z29"/>
    <mergeCell ref="T30:Z30"/>
    <mergeCell ref="T27:Z27"/>
    <mergeCell ref="T28:Z28"/>
    <mergeCell ref="K30:S30"/>
    <mergeCell ref="K27:S27"/>
    <mergeCell ref="A30:J30"/>
    <mergeCell ref="A5:W7"/>
    <mergeCell ref="K33:L33"/>
    <mergeCell ref="K34:L34"/>
    <mergeCell ref="M33:S33"/>
    <mergeCell ref="M34:S34"/>
    <mergeCell ref="D33:J33"/>
    <mergeCell ref="D34:J34"/>
    <mergeCell ref="K28:S28"/>
    <mergeCell ref="K29:S29"/>
    <mergeCell ref="T26:Z26"/>
    <mergeCell ref="B37:J37"/>
    <mergeCell ref="K37:U37"/>
    <mergeCell ref="AA9:AB9"/>
    <mergeCell ref="X9:Z9"/>
    <mergeCell ref="G9:W9"/>
    <mergeCell ref="K35:L35"/>
    <mergeCell ref="M35:S35"/>
    <mergeCell ref="D35:J35"/>
    <mergeCell ref="AB27:AE27"/>
    <mergeCell ref="AB25:AE25"/>
  </mergeCells>
  <phoneticPr fontId="3"/>
  <pageMargins left="0.7" right="0.7" top="0.75" bottom="0.75" header="0.3" footer="0.3"/>
  <pageSetup paperSize="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C222-4D6D-40F3-BBF7-B4B594CFD165}">
  <sheetPr>
    <pageSetUpPr fitToPage="1"/>
  </sheetPr>
  <dimension ref="B1:M35"/>
  <sheetViews>
    <sheetView topLeftCell="B1" workbookViewId="0">
      <selection activeCell="J6" sqref="J6:K7"/>
    </sheetView>
  </sheetViews>
  <sheetFormatPr defaultRowHeight="13" x14ac:dyDescent="0.2"/>
  <sheetData>
    <row r="1" spans="2:13" ht="13.5" customHeight="1" x14ac:dyDescent="0.2">
      <c r="D1" s="650" t="s">
        <v>423</v>
      </c>
      <c r="E1" s="650"/>
      <c r="F1" s="650"/>
      <c r="G1" s="650"/>
      <c r="H1" s="650"/>
      <c r="I1" s="650"/>
      <c r="J1" s="650"/>
      <c r="K1" s="650"/>
    </row>
    <row r="2" spans="2:13" ht="13.5" customHeight="1" x14ac:dyDescent="0.2">
      <c r="D2" s="650"/>
      <c r="E2" s="650"/>
      <c r="F2" s="650"/>
      <c r="G2" s="650"/>
      <c r="H2" s="650"/>
      <c r="I2" s="650"/>
      <c r="J2" s="650"/>
      <c r="K2" s="650"/>
    </row>
    <row r="3" spans="2:13" ht="13.5" customHeight="1" x14ac:dyDescent="0.2">
      <c r="D3" s="650"/>
      <c r="E3" s="650"/>
      <c r="F3" s="650"/>
      <c r="G3" s="650"/>
      <c r="H3" s="650"/>
      <c r="I3" s="650"/>
      <c r="J3" s="650"/>
      <c r="K3" s="650"/>
    </row>
    <row r="4" spans="2:13" ht="13.5" customHeight="1" x14ac:dyDescent="0.2">
      <c r="J4" s="651" t="s">
        <v>460</v>
      </c>
      <c r="K4" s="651"/>
      <c r="L4" s="651"/>
      <c r="M4" s="651"/>
    </row>
    <row r="5" spans="2:13" ht="13.5" customHeight="1" thickBot="1" x14ac:dyDescent="0.25">
      <c r="J5" s="651"/>
      <c r="K5" s="651"/>
      <c r="L5" s="651"/>
      <c r="M5" s="651"/>
    </row>
    <row r="6" spans="2:13" ht="17.25" customHeight="1" x14ac:dyDescent="0.2">
      <c r="B6" s="652" t="s">
        <v>424</v>
      </c>
      <c r="C6" s="653"/>
      <c r="D6" s="656"/>
      <c r="E6" s="657"/>
      <c r="F6" s="657"/>
      <c r="G6" s="657"/>
      <c r="H6" s="657"/>
      <c r="I6" s="658"/>
      <c r="J6" s="652" t="s">
        <v>425</v>
      </c>
      <c r="K6" s="653"/>
      <c r="L6" s="637"/>
      <c r="M6" s="638"/>
    </row>
    <row r="7" spans="2:13" ht="13.5" thickBot="1" x14ac:dyDescent="0.25">
      <c r="B7" s="654"/>
      <c r="C7" s="655"/>
      <c r="D7" s="659"/>
      <c r="E7" s="660"/>
      <c r="F7" s="660"/>
      <c r="G7" s="660"/>
      <c r="H7" s="660"/>
      <c r="I7" s="661"/>
      <c r="J7" s="654"/>
      <c r="K7" s="655"/>
      <c r="L7" s="639"/>
      <c r="M7" s="640"/>
    </row>
    <row r="8" spans="2:13" ht="13.5" thickBot="1" x14ac:dyDescent="0.25"/>
    <row r="9" spans="2:13" x14ac:dyDescent="0.2">
      <c r="B9" s="5"/>
      <c r="C9" s="665" t="s">
        <v>426</v>
      </c>
      <c r="D9" s="666"/>
      <c r="E9" s="666"/>
      <c r="F9" s="667"/>
      <c r="G9" s="204"/>
      <c r="H9" s="204"/>
      <c r="I9" s="649"/>
      <c r="J9" s="649" t="s">
        <v>427</v>
      </c>
      <c r="K9" s="3"/>
      <c r="L9" s="210"/>
    </row>
    <row r="10" spans="2:13" ht="12.75" customHeight="1" x14ac:dyDescent="0.2">
      <c r="B10" s="5"/>
      <c r="C10" s="668"/>
      <c r="D10" s="669"/>
      <c r="E10" s="669"/>
      <c r="F10" s="670"/>
      <c r="G10" s="209"/>
      <c r="H10" s="209"/>
      <c r="I10" s="663"/>
      <c r="J10" s="663"/>
      <c r="K10" s="5"/>
      <c r="L10" s="127"/>
    </row>
    <row r="11" spans="2:13" ht="13.5" thickBot="1" x14ac:dyDescent="0.25">
      <c r="B11" s="5"/>
      <c r="C11" s="671"/>
      <c r="D11" s="672"/>
      <c r="E11" s="672"/>
      <c r="F11" s="673"/>
      <c r="G11" s="27"/>
      <c r="H11" s="27"/>
      <c r="I11" s="489"/>
      <c r="J11" s="489"/>
      <c r="K11" s="27"/>
      <c r="L11" s="28"/>
    </row>
    <row r="12" spans="2:13" x14ac:dyDescent="0.2">
      <c r="B12" s="5"/>
      <c r="C12" s="665" t="s">
        <v>428</v>
      </c>
      <c r="D12" s="666"/>
      <c r="E12" s="666"/>
      <c r="F12" s="667"/>
      <c r="G12" s="3"/>
      <c r="H12" s="3"/>
      <c r="I12" s="649"/>
      <c r="J12" s="649" t="s">
        <v>427</v>
      </c>
      <c r="K12" s="3"/>
      <c r="L12" s="210"/>
    </row>
    <row r="13" spans="2:13" x14ac:dyDescent="0.2">
      <c r="B13" s="5"/>
      <c r="C13" s="668"/>
      <c r="D13" s="669"/>
      <c r="E13" s="669"/>
      <c r="F13" s="670"/>
      <c r="G13" s="5"/>
      <c r="H13" s="5"/>
      <c r="I13" s="663"/>
      <c r="J13" s="663"/>
      <c r="K13" s="5"/>
      <c r="L13" s="127"/>
    </row>
    <row r="14" spans="2:13" ht="13.5" thickBot="1" x14ac:dyDescent="0.25">
      <c r="B14" s="5"/>
      <c r="C14" s="671"/>
      <c r="D14" s="672"/>
      <c r="E14" s="672"/>
      <c r="F14" s="673"/>
      <c r="G14" s="27"/>
      <c r="H14" s="27"/>
      <c r="I14" s="489"/>
      <c r="J14" s="489"/>
      <c r="K14" s="27"/>
      <c r="L14" s="28"/>
    </row>
    <row r="15" spans="2:13" x14ac:dyDescent="0.2">
      <c r="B15" s="5"/>
      <c r="C15" s="665" t="s">
        <v>429</v>
      </c>
      <c r="D15" s="666"/>
      <c r="E15" s="666"/>
      <c r="F15" s="667"/>
      <c r="G15" s="3"/>
      <c r="H15" s="3"/>
      <c r="I15" s="649"/>
      <c r="J15" s="649" t="s">
        <v>427</v>
      </c>
      <c r="K15" s="3"/>
      <c r="L15" s="210"/>
    </row>
    <row r="16" spans="2:13" x14ac:dyDescent="0.2">
      <c r="C16" s="668"/>
      <c r="D16" s="669"/>
      <c r="E16" s="669"/>
      <c r="F16" s="670"/>
      <c r="G16" s="5"/>
      <c r="H16" s="5"/>
      <c r="I16" s="663"/>
      <c r="J16" s="663"/>
      <c r="K16" s="5"/>
      <c r="L16" s="127"/>
    </row>
    <row r="17" spans="2:12" ht="13.5" thickBot="1" x14ac:dyDescent="0.25">
      <c r="B17" s="5"/>
      <c r="C17" s="671"/>
      <c r="D17" s="672"/>
      <c r="E17" s="672"/>
      <c r="F17" s="673"/>
      <c r="G17" s="27"/>
      <c r="H17" s="27"/>
      <c r="I17" s="489"/>
      <c r="J17" s="489"/>
      <c r="K17" s="27"/>
      <c r="L17" s="28"/>
    </row>
    <row r="18" spans="2:12" x14ac:dyDescent="0.2">
      <c r="B18" s="5"/>
      <c r="C18" s="637"/>
      <c r="D18" s="649"/>
      <c r="E18" s="649"/>
      <c r="F18" s="638"/>
      <c r="G18" s="204"/>
      <c r="H18" s="204"/>
      <c r="I18" s="3"/>
      <c r="J18" s="3"/>
      <c r="K18" s="3"/>
      <c r="L18" s="210"/>
    </row>
    <row r="19" spans="2:12" x14ac:dyDescent="0.2">
      <c r="B19" s="5"/>
      <c r="C19" s="662"/>
      <c r="D19" s="663"/>
      <c r="E19" s="663"/>
      <c r="F19" s="664"/>
      <c r="G19" s="5"/>
      <c r="H19" s="5"/>
      <c r="I19" s="5"/>
      <c r="J19" s="5"/>
      <c r="K19" s="5"/>
      <c r="L19" s="127"/>
    </row>
    <row r="20" spans="2:12" ht="13.5" thickBot="1" x14ac:dyDescent="0.25">
      <c r="C20" s="639"/>
      <c r="D20" s="489"/>
      <c r="E20" s="489"/>
      <c r="F20" s="640"/>
      <c r="G20" s="27"/>
      <c r="H20" s="27"/>
      <c r="I20" s="27"/>
      <c r="J20" s="27"/>
      <c r="K20" s="27"/>
      <c r="L20" s="28"/>
    </row>
    <row r="21" spans="2:12" ht="12.75" customHeight="1" x14ac:dyDescent="0.2">
      <c r="B21" s="5"/>
      <c r="C21" s="637"/>
      <c r="D21" s="649"/>
      <c r="E21" s="649"/>
      <c r="F21" s="638"/>
      <c r="G21" s="3"/>
      <c r="H21" s="3"/>
      <c r="I21" s="3"/>
      <c r="J21" s="3"/>
      <c r="K21" s="3"/>
      <c r="L21" s="210"/>
    </row>
    <row r="22" spans="2:12" ht="12.75" customHeight="1" x14ac:dyDescent="0.2">
      <c r="C22" s="662"/>
      <c r="D22" s="663"/>
      <c r="E22" s="663"/>
      <c r="F22" s="664"/>
      <c r="G22" s="5"/>
      <c r="H22" s="5"/>
      <c r="I22" s="5"/>
      <c r="J22" s="5"/>
      <c r="K22" s="5"/>
      <c r="L22" s="127"/>
    </row>
    <row r="23" spans="2:12" ht="12.75" customHeight="1" thickBot="1" x14ac:dyDescent="0.25">
      <c r="C23" s="639"/>
      <c r="D23" s="489"/>
      <c r="E23" s="489"/>
      <c r="F23" s="640"/>
      <c r="G23" s="27"/>
      <c r="H23" s="27"/>
      <c r="I23" s="27"/>
      <c r="J23" s="27"/>
      <c r="K23" s="27"/>
      <c r="L23" s="28"/>
    </row>
    <row r="24" spans="2:12" ht="19.5" customHeight="1" thickBot="1" x14ac:dyDescent="0.25">
      <c r="B24" s="5"/>
      <c r="C24" s="211" t="s">
        <v>430</v>
      </c>
      <c r="D24" s="674" t="s">
        <v>431</v>
      </c>
      <c r="E24" s="675"/>
      <c r="F24" s="676"/>
      <c r="G24" s="675" t="s">
        <v>432</v>
      </c>
      <c r="H24" s="675"/>
      <c r="I24" s="675"/>
      <c r="J24" s="675"/>
      <c r="K24" s="674" t="s">
        <v>433</v>
      </c>
      <c r="L24" s="676"/>
    </row>
    <row r="25" spans="2:12" x14ac:dyDescent="0.2">
      <c r="B25" s="5"/>
      <c r="C25" s="677">
        <v>1</v>
      </c>
      <c r="D25" s="637"/>
      <c r="E25" s="649"/>
      <c r="F25" s="638"/>
      <c r="G25" s="637" t="s">
        <v>434</v>
      </c>
      <c r="H25" s="649"/>
      <c r="I25" s="649"/>
      <c r="J25" s="638"/>
      <c r="K25" s="637" t="s">
        <v>435</v>
      </c>
      <c r="L25" s="638"/>
    </row>
    <row r="26" spans="2:12" ht="13.5" thickBot="1" x14ac:dyDescent="0.25">
      <c r="B26" s="5"/>
      <c r="C26" s="678"/>
      <c r="D26" s="639"/>
      <c r="E26" s="489"/>
      <c r="F26" s="640"/>
      <c r="G26" s="639"/>
      <c r="H26" s="489"/>
      <c r="I26" s="489"/>
      <c r="J26" s="640"/>
      <c r="K26" s="639"/>
      <c r="L26" s="640"/>
    </row>
    <row r="27" spans="2:12" x14ac:dyDescent="0.2">
      <c r="B27" s="5"/>
      <c r="C27" s="641"/>
      <c r="D27" s="643"/>
      <c r="E27" s="644"/>
      <c r="F27" s="645"/>
      <c r="G27" s="637" t="s">
        <v>56</v>
      </c>
      <c r="H27" s="649"/>
      <c r="I27" s="649"/>
      <c r="J27" s="638"/>
      <c r="K27" s="637"/>
      <c r="L27" s="638"/>
    </row>
    <row r="28" spans="2:12" ht="13.5" thickBot="1" x14ac:dyDescent="0.25">
      <c r="B28" s="5"/>
      <c r="C28" s="642"/>
      <c r="D28" s="646"/>
      <c r="E28" s="647"/>
      <c r="F28" s="648"/>
      <c r="G28" s="639"/>
      <c r="H28" s="489"/>
      <c r="I28" s="489"/>
      <c r="J28" s="640"/>
      <c r="K28" s="639"/>
      <c r="L28" s="640"/>
    </row>
    <row r="29" spans="2:12" x14ac:dyDescent="0.2">
      <c r="B29" s="5"/>
      <c r="C29" s="641"/>
      <c r="D29" s="643"/>
      <c r="E29" s="644"/>
      <c r="F29" s="645"/>
      <c r="G29" s="637" t="s">
        <v>56</v>
      </c>
      <c r="H29" s="649"/>
      <c r="I29" s="649"/>
      <c r="J29" s="638"/>
      <c r="K29" s="637"/>
      <c r="L29" s="638"/>
    </row>
    <row r="30" spans="2:12" ht="13.5" thickBot="1" x14ac:dyDescent="0.25">
      <c r="B30" s="5"/>
      <c r="C30" s="642"/>
      <c r="D30" s="646"/>
      <c r="E30" s="647"/>
      <c r="F30" s="648"/>
      <c r="G30" s="639"/>
      <c r="H30" s="489"/>
      <c r="I30" s="489"/>
      <c r="J30" s="640"/>
      <c r="K30" s="639"/>
      <c r="L30" s="640"/>
    </row>
    <row r="32" spans="2:12" x14ac:dyDescent="0.2">
      <c r="C32" s="679" t="s">
        <v>436</v>
      </c>
      <c r="D32" s="679"/>
      <c r="E32" s="679"/>
      <c r="F32" s="679"/>
      <c r="G32" s="679"/>
    </row>
    <row r="33" spans="3:13" x14ac:dyDescent="0.2">
      <c r="C33" s="679"/>
      <c r="D33" s="679"/>
      <c r="E33" s="679"/>
      <c r="F33" s="679"/>
      <c r="G33" s="679"/>
    </row>
    <row r="34" spans="3:13" x14ac:dyDescent="0.2">
      <c r="I34" s="680" t="s">
        <v>437</v>
      </c>
      <c r="J34" s="663"/>
      <c r="K34" s="5"/>
      <c r="L34" s="5"/>
      <c r="M34" s="663" t="s">
        <v>438</v>
      </c>
    </row>
    <row r="35" spans="3:13" ht="13.5" thickBot="1" x14ac:dyDescent="0.25">
      <c r="I35" s="681"/>
      <c r="J35" s="489"/>
      <c r="K35" s="27"/>
      <c r="L35" s="27"/>
      <c r="M35" s="489"/>
    </row>
  </sheetData>
  <mergeCells count="36">
    <mergeCell ref="M34:M35"/>
    <mergeCell ref="D24:F24"/>
    <mergeCell ref="G24:J24"/>
    <mergeCell ref="K24:L24"/>
    <mergeCell ref="C25:C26"/>
    <mergeCell ref="D25:F26"/>
    <mergeCell ref="G25:J26"/>
    <mergeCell ref="K25:L26"/>
    <mergeCell ref="C32:G33"/>
    <mergeCell ref="I34:I35"/>
    <mergeCell ref="J34:J35"/>
    <mergeCell ref="C27:C28"/>
    <mergeCell ref="D27:F28"/>
    <mergeCell ref="G27:J28"/>
    <mergeCell ref="C9:F11"/>
    <mergeCell ref="I9:I11"/>
    <mergeCell ref="J9:J11"/>
    <mergeCell ref="C12:F14"/>
    <mergeCell ref="I12:I14"/>
    <mergeCell ref="J12:J14"/>
    <mergeCell ref="L6:M7"/>
    <mergeCell ref="C21:F23"/>
    <mergeCell ref="C15:F17"/>
    <mergeCell ref="I15:I17"/>
    <mergeCell ref="J15:J17"/>
    <mergeCell ref="C18:F20"/>
    <mergeCell ref="K27:L28"/>
    <mergeCell ref="C29:C30"/>
    <mergeCell ref="D29:F30"/>
    <mergeCell ref="G29:J30"/>
    <mergeCell ref="K29:L30"/>
    <mergeCell ref="D1:K3"/>
    <mergeCell ref="J4:M5"/>
    <mergeCell ref="B6:C7"/>
    <mergeCell ref="D6:I7"/>
    <mergeCell ref="J6:K7"/>
  </mergeCells>
  <phoneticPr fontId="3"/>
  <pageMargins left="0.31496062992125984" right="0.70866141732283472" top="0.74803149606299213" bottom="0.74803149606299213" header="0.31496062992125984" footer="0.31496062992125984"/>
  <pageSetup paperSize="9" scale="80" fitToHeight="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4</vt:i4>
      </vt:variant>
    </vt:vector>
  </HeadingPairs>
  <TitlesOfParts>
    <vt:vector size="13" baseType="lpstr">
      <vt:lpstr>入力画面</vt:lpstr>
      <vt:lpstr>見積書</vt:lpstr>
      <vt:lpstr>請求書</vt:lpstr>
      <vt:lpstr>広告料請求書</vt:lpstr>
      <vt:lpstr>引越しの流れ</vt:lpstr>
      <vt:lpstr>ライフライン</vt:lpstr>
      <vt:lpstr>付帯申込書</vt:lpstr>
      <vt:lpstr>お届け明細書</vt:lpstr>
      <vt:lpstr>鍵受領書</vt:lpstr>
      <vt:lpstr>お届け明細書!Print_Area</vt:lpstr>
      <vt:lpstr>見積書!Print_Area</vt:lpstr>
      <vt:lpstr>広告料請求書!Print_Area</vt:lpstr>
      <vt:lpstr>請求書!Print_Area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ＵＥＨＡＲＡ</dc:creator>
  <cp:lastModifiedBy>悠馬 竹内</cp:lastModifiedBy>
  <cp:lastPrinted>2024-11-14T10:46:40Z</cp:lastPrinted>
  <dcterms:created xsi:type="dcterms:W3CDTF">1998-03-13T01:31:59Z</dcterms:created>
  <dcterms:modified xsi:type="dcterms:W3CDTF">2026-06-02T23:13:56Z</dcterms:modified>
</cp:coreProperties>
</file>